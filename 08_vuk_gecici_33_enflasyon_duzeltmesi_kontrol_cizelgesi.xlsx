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98 Enflasyon Hesabı Kontrol" sheetId="1" state="visible" r:id="rId1"/>
    <sheet xmlns:r="http://schemas.openxmlformats.org/officeDocument/2006/relationships" name="Duran Varlıklar Düzeltmesi" sheetId="2" state="visible" r:id="rId2"/>
    <sheet xmlns:r="http://schemas.openxmlformats.org/officeDocument/2006/relationships" name="Stoklar Basit Ortal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2E8F0"/>
      <sz val="9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color rgb="000F172A"/>
      <sz val="9.5"/>
    </font>
    <font>
      <name val="Segoe UI"/>
      <b val="1"/>
      <color rgb="000F172A"/>
      <sz val="10"/>
    </font>
    <font>
      <name val="Segoe UI"/>
      <b val="1"/>
      <color rgb="0016A34A"/>
      <sz val="9.5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D4ED8"/>
        <bgColor rgb="001D4ED8"/>
      </patternFill>
    </fill>
    <fill>
      <patternFill patternType="solid">
        <fgColor rgb="00334155"/>
        <bgColor rgb="00334155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4" fontId="5" fillId="0" borderId="1" pivotButton="0" quotePrefix="0" xfId="0"/>
    <xf numFmtId="0" fontId="5" fillId="0" borderId="1" pivotButton="0" quotePrefix="0" xfId="0"/>
    <xf numFmtId="0" fontId="4" fillId="5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6" fillId="5" borderId="2" pivotButton="0" quotePrefix="0" xfId="0"/>
    <xf numFmtId="0" fontId="0" fillId="5" borderId="2" pivotButton="0" quotePrefix="0" xfId="0"/>
    <xf numFmtId="4" fontId="0" fillId="5" borderId="2" pivotButton="0" quotePrefix="0" xfId="0"/>
    <xf numFmtId="0" fontId="7" fillId="5" borderId="2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4" fontId="6" fillId="5" borderId="2" pivotButton="0" quotePrefix="0" xfId="0"/>
    <xf numFmtId="164" fontId="5" fillId="0" borderId="1" pivotButton="0" quotePrefix="0" xfId="0"/>
    <xf numFmtId="4" fontId="4" fillId="0" borderId="1" pivotButton="0" quotePrefix="0" xfId="0"/>
    <xf numFmtId="0" fontId="4" fillId="0" borderId="2" pivotButton="0" quotePrefix="0" xfId="0"/>
    <xf numFmtId="4" fontId="4" fillId="0" borderId="2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3" customWidth="1" min="1" max="1"/>
    <col width="28" customWidth="1" min="2" max="2"/>
    <col width="18" customWidth="1" min="3" max="3"/>
    <col width="30" customWidth="1" min="4" max="4"/>
    <col width="51" customWidth="1" min="5" max="5"/>
  </cols>
  <sheetData>
    <row r="1">
      <c r="A1" s="1" t="inlineStr">
        <is>
          <t>VUK GEÇİCİ 33 ENFLASYON DÜZELTMESİ &amp; 698 HESAP BAKİYE KONTROLÜ</t>
        </is>
      </c>
      <c r="B1" s="1" t="n"/>
      <c r="C1" s="1" t="n"/>
      <c r="D1" s="1" t="n"/>
      <c r="E1" s="1" t="n"/>
    </row>
    <row r="2">
      <c r="A2" s="2" t="inlineStr">
        <is>
          <t>Maddi Duran Varlıklar, Stoklar, Özkaynaklar ve 648/658 Virman Kontrol Çizelgesi</t>
        </is>
      </c>
      <c r="B2" s="2" t="n"/>
      <c r="C2" s="2" t="n"/>
      <c r="D2" s="2" t="n"/>
      <c r="E2" s="2" t="n"/>
    </row>
    <row r="3" ht="25" customHeight="1">
      <c r="A3" s="3" t="inlineStr">
        <is>
          <t>Hesap Kodu &amp; Bakiye Kalemi</t>
        </is>
      </c>
      <c r="B3" s="3" t="inlineStr">
        <is>
          <t>Aktif / Pasif Yönü</t>
        </is>
      </c>
      <c r="C3" s="3" t="inlineStr">
        <is>
          <t>698 Kayıt Yönü</t>
        </is>
      </c>
      <c r="D3" s="3" t="inlineStr">
        <is>
          <t>Düzeltme Farkı Tutarı (TL)</t>
        </is>
      </c>
      <c r="E3" s="3" t="inlineStr">
        <is>
          <t>Açıklama</t>
        </is>
      </c>
    </row>
    <row r="4" ht="20" customHeight="1">
      <c r="A4" s="4" t="inlineStr">
        <is>
          <t>25 Maddi Duran Varlıklar Enflasyon Farkları</t>
        </is>
      </c>
      <c r="B4" s="5" t="inlineStr">
        <is>
          <t>Aktif Parasal Olmayan</t>
        </is>
      </c>
      <c r="C4" s="5" t="inlineStr">
        <is>
          <t>ALACAK (Gelir)</t>
        </is>
      </c>
      <c r="D4" s="6" t="n">
        <v>1450000</v>
      </c>
      <c r="E4" s="7" t="inlineStr">
        <is>
          <t>250, 252, 254, 255 binalar ve makineler</t>
        </is>
      </c>
    </row>
    <row r="5" ht="20" customHeight="1">
      <c r="A5" s="4" t="inlineStr">
        <is>
          <t>257 Birikmiş Amortismanlar Enflasyon Farkları (-)</t>
        </is>
      </c>
      <c r="B5" s="5" t="inlineStr">
        <is>
          <t>Aktifi Düzenleyici Pasif</t>
        </is>
      </c>
      <c r="C5" s="5" t="inlineStr">
        <is>
          <t>BORÇ (Gider)</t>
        </is>
      </c>
      <c r="D5" s="6" t="n">
        <v>420000</v>
      </c>
      <c r="E5" s="7" t="inlineStr">
        <is>
          <t>Duran varlık amortisman taşıma farkı</t>
        </is>
      </c>
    </row>
    <row r="6" ht="20" customHeight="1">
      <c r="A6" s="4" t="inlineStr">
        <is>
          <t>150-153 Stoklar Enflasyon Düzeltme Farkları</t>
        </is>
      </c>
      <c r="B6" s="5" t="inlineStr">
        <is>
          <t>Aktif Parasal Olmayan</t>
        </is>
      </c>
      <c r="C6" s="5" t="inlineStr">
        <is>
          <t>ALACAK (Gelir)</t>
        </is>
      </c>
      <c r="D6" s="6" t="n">
        <v>680000</v>
      </c>
      <c r="E6" s="7" t="inlineStr">
        <is>
          <t>Basit ortalama / hareketli ortalama farkı</t>
        </is>
      </c>
    </row>
    <row r="7" ht="20" customHeight="1">
      <c r="A7" s="4" t="inlineStr">
        <is>
          <t>500 Ödenmiş Sermaye Düzeltme Farkları (502)</t>
        </is>
      </c>
      <c r="B7" s="5" t="inlineStr">
        <is>
          <t>Pasif Parasal Olmayan</t>
        </is>
      </c>
      <c r="C7" s="5" t="inlineStr">
        <is>
          <t>BORÇ (Gider)</t>
        </is>
      </c>
      <c r="D7" s="6" t="n">
        <v>1200000</v>
      </c>
      <c r="E7" s="7" t="inlineStr">
        <is>
          <t>Sermayenin tescil tarihinden itibaren taşınması</t>
        </is>
      </c>
    </row>
    <row r="8" ht="20" customHeight="1">
      <c r="A8" s="4" t="inlineStr">
        <is>
          <t>540 Yasal Yedekler Enflasyon Farkları (549)</t>
        </is>
      </c>
      <c r="B8" s="5" t="inlineStr">
        <is>
          <t>Pasif Parasal Olmayan</t>
        </is>
      </c>
      <c r="C8" s="5" t="inlineStr">
        <is>
          <t>BORÇ (Gider)</t>
        </is>
      </c>
      <c r="D8" s="6" t="n">
        <v>180000</v>
      </c>
      <c r="E8" s="7" t="inlineStr">
        <is>
          <t>Ayrılan yasal yedek akçelerin düzeltmesi</t>
        </is>
      </c>
    </row>
    <row r="9"/>
    <row r="10" ht="22" customHeight="1">
      <c r="A10" s="8" t="inlineStr">
        <is>
          <t>698 HESAP ALACAK TOPLAMI (Aktif Gelir Farkları)</t>
        </is>
      </c>
      <c r="B10" s="9" t="n"/>
      <c r="C10" s="9" t="n"/>
      <c r="D10" s="10">
        <f>D4+D6</f>
        <v/>
      </c>
      <c r="E10" s="9" t="n"/>
    </row>
    <row r="11" ht="22" customHeight="1">
      <c r="A11" s="8" t="inlineStr">
        <is>
          <t>698 HESAP BORÇ TOPLAMI (Pasif Gider Farkları)</t>
        </is>
      </c>
      <c r="B11" s="9" t="n"/>
      <c r="C11" s="9" t="n"/>
      <c r="D11" s="10">
        <f>D5+D7+D8</f>
        <v/>
      </c>
      <c r="E11" s="9" t="n"/>
    </row>
    <row r="12" ht="22" customHeight="1">
      <c r="A12" s="11" t="inlineStr">
        <is>
          <t>698 HESAP NET BAKİYESİ</t>
        </is>
      </c>
      <c r="B12" s="12" t="n"/>
      <c r="C12" s="12" t="n"/>
      <c r="D12" s="13">
        <f>D10-D11</f>
        <v/>
      </c>
      <c r="E12" s="12" t="n"/>
    </row>
    <row r="13" ht="22" customHeight="1">
      <c r="A13" s="11" t="inlineStr">
        <is>
          <t>SONUÇ VE VİRMAN HESABI</t>
        </is>
      </c>
      <c r="B13" s="12" t="n"/>
      <c r="C13" s="12" t="n"/>
      <c r="D13" s="14">
        <f>IF(D12&gt;0, "648 Enflasyon Düzeltme Kârı (Gelir)", IF(D12&lt;0, "658 Enflasyon Düzeltme Zararı (Gider)", "DENK"))</f>
        <v/>
      </c>
      <c r="E13" s="12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8" customWidth="1" min="1" max="1"/>
    <col width="27" customWidth="1" min="2" max="2"/>
    <col width="23" customWidth="1" min="3" max="3"/>
    <col width="23" customWidth="1" min="4" max="4"/>
    <col width="16" customWidth="1" min="5" max="5"/>
    <col width="21" customWidth="1" min="6" max="6"/>
    <col width="22" customWidth="1" min="7" max="7"/>
    <col width="29" customWidth="1" min="8" max="8"/>
    <col width="26" customWidth="1" min="9" max="9"/>
    <col width="21" customWidth="1" min="10" max="10"/>
    <col width="26" customWidth="1" min="11" max="11"/>
    <col width="18" customWidth="1" min="12" max="12"/>
  </cols>
  <sheetData>
    <row r="1">
      <c r="A1" s="1" t="inlineStr">
        <is>
          <t>25 MADDİ DURAN VARLIKLAR VE BİRİKMİŞ AMORTİSMAN DÜZELTME TABLOSU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6" customHeight="1">
      <c r="A2" s="3" t="inlineStr">
        <is>
          <t>Hesap Kodu</t>
        </is>
      </c>
      <c r="B2" s="3" t="inlineStr">
        <is>
          <t>Kıymet Adı / Açıklama</t>
        </is>
      </c>
      <c r="C2" s="3" t="inlineStr">
        <is>
          <t>Aktife Giriş Tarihi</t>
        </is>
      </c>
      <c r="D2" s="3" t="inlineStr">
        <is>
          <t>Tarihi Maliyet (TL)</t>
        </is>
      </c>
      <c r="E2" s="3" t="inlineStr">
        <is>
          <t>Giriş Yİ-ÜFE</t>
        </is>
      </c>
      <c r="F2" s="3" t="inlineStr">
        <is>
          <t>Dönem Sonu Yİ-ÜFE</t>
        </is>
      </c>
      <c r="G2" s="3" t="inlineStr">
        <is>
          <t>Düzeltme Katsayısı</t>
        </is>
      </c>
      <c r="H2" s="3" t="inlineStr">
        <is>
          <t>Düzeltilmiş Varlık Değeri</t>
        </is>
      </c>
      <c r="I2" s="3" t="inlineStr">
        <is>
          <t>Varlık Enflasyon Farkı</t>
        </is>
      </c>
      <c r="J2" s="3" t="inlineStr">
        <is>
          <t>Tarihi Amortisman</t>
        </is>
      </c>
      <c r="K2" s="3" t="inlineStr">
        <is>
          <t>Düzeltilmiş Amortisman</t>
        </is>
      </c>
      <c r="L2" s="3" t="inlineStr">
        <is>
          <t>Net Fark (698)</t>
        </is>
      </c>
    </row>
    <row r="3" ht="20" customHeight="1">
      <c r="A3" s="15" t="inlineStr">
        <is>
          <t>252.01</t>
        </is>
      </c>
      <c r="B3" s="7" t="inlineStr">
        <is>
          <t>İdare Merkez Binası</t>
        </is>
      </c>
      <c r="C3" s="15" t="inlineStr">
        <is>
          <t>2023-06-15</t>
        </is>
      </c>
      <c r="D3" s="6" t="n">
        <v>3500000</v>
      </c>
      <c r="E3" s="6" t="n">
        <v>2322</v>
      </c>
      <c r="F3" s="6" t="n">
        <v>3750</v>
      </c>
      <c r="G3" s="16">
        <f>F3/E3</f>
        <v/>
      </c>
      <c r="H3" s="6">
        <f>D3*G3</f>
        <v/>
      </c>
      <c r="I3" s="6">
        <f>H3-D3</f>
        <v/>
      </c>
      <c r="J3" s="6" t="n">
        <v>350000</v>
      </c>
      <c r="K3" s="6">
        <f>J3*G3</f>
        <v/>
      </c>
      <c r="L3" s="6">
        <f>I3-(K3-J3)</f>
        <v/>
      </c>
    </row>
    <row r="4" ht="20" customHeight="1">
      <c r="A4" s="15" t="inlineStr">
        <is>
          <t>254.01</t>
        </is>
      </c>
      <c r="B4" s="7" t="inlineStr">
        <is>
          <t>Ticari Taşıt (Kamyonet)</t>
        </is>
      </c>
      <c r="C4" s="15" t="inlineStr">
        <is>
          <t>2023-11-20</t>
        </is>
      </c>
      <c r="D4" s="6" t="n">
        <v>1200000</v>
      </c>
      <c r="E4" s="6" t="n">
        <v>2882</v>
      </c>
      <c r="F4" s="6" t="n">
        <v>3750</v>
      </c>
      <c r="G4" s="16">
        <f>F4/E4</f>
        <v/>
      </c>
      <c r="H4" s="6">
        <f>D4*G4</f>
        <v/>
      </c>
      <c r="I4" s="6">
        <f>H4-D4</f>
        <v/>
      </c>
      <c r="J4" s="6" t="n">
        <v>240000</v>
      </c>
      <c r="K4" s="6">
        <f>J4*G4</f>
        <v/>
      </c>
      <c r="L4" s="6">
        <f>I4-(K4-J4)</f>
        <v/>
      </c>
    </row>
    <row r="5" ht="20" customHeight="1">
      <c r="A5" s="15" t="inlineStr">
        <is>
          <t>255.01</t>
        </is>
      </c>
      <c r="B5" s="7" t="inlineStr">
        <is>
          <t>Fabrika Üretim Makinesi</t>
        </is>
      </c>
      <c r="C5" s="15" t="inlineStr">
        <is>
          <t>2024-03-10</t>
        </is>
      </c>
      <c r="D5" s="6" t="n">
        <v>2800000</v>
      </c>
      <c r="E5" s="6" t="n">
        <v>3140</v>
      </c>
      <c r="F5" s="6" t="n">
        <v>3750</v>
      </c>
      <c r="G5" s="16">
        <f>F5/E5</f>
        <v/>
      </c>
      <c r="H5" s="6">
        <f>D5*G5</f>
        <v/>
      </c>
      <c r="I5" s="6">
        <f>H5-D5</f>
        <v/>
      </c>
      <c r="J5" s="6" t="n">
        <v>560000</v>
      </c>
      <c r="K5" s="6">
        <f>J5*G5</f>
        <v/>
      </c>
      <c r="L5" s="6">
        <f>I5-(K5-J5)</f>
        <v/>
      </c>
    </row>
    <row r="6" ht="24" customHeight="1">
      <c r="A6" s="11" t="n"/>
      <c r="B6" s="11" t="inlineStr">
        <is>
          <t>TOPLAMLAR</t>
        </is>
      </c>
      <c r="C6" s="11" t="n"/>
      <c r="D6" s="17">
        <f>SUM(D3:D5)</f>
        <v/>
      </c>
      <c r="E6" s="11" t="n"/>
      <c r="F6" s="11" t="n"/>
      <c r="G6" s="11" t="n"/>
      <c r="H6" s="17">
        <f>SUM(H3:H5)</f>
        <v/>
      </c>
      <c r="I6" s="17">
        <f>SUM(I3:I5)</f>
        <v/>
      </c>
      <c r="J6" s="11" t="n"/>
      <c r="K6" s="11" t="n"/>
      <c r="L6" s="17">
        <f>SUM(L3:L5)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1" customWidth="1" min="1" max="1"/>
    <col width="13" customWidth="1" min="2" max="2"/>
    <col width="44" customWidth="1" min="3" max="3"/>
  </cols>
  <sheetData>
    <row r="1">
      <c r="A1" s="1" t="inlineStr">
        <is>
          <t>VUK GEÇİCİ 33 STOKLAR BASİT ORTALAMA ENFLASYON DÜZELTMESİ</t>
        </is>
      </c>
      <c r="B1" s="1" t="n"/>
      <c r="C1" s="1" t="n"/>
      <c r="D1" s="1" t="n"/>
    </row>
    <row r="2" ht="22" customHeight="1">
      <c r="A2" s="7" t="inlineStr">
        <is>
          <t>Dönem Sonu Ticari Mallar / Stok Tutarı (TL)</t>
        </is>
      </c>
      <c r="B2" s="6" t="n">
        <v>1850000</v>
      </c>
      <c r="C2" s="7" t="inlineStr">
        <is>
          <t>153 Ticari Mallar Defter Değeri</t>
        </is>
      </c>
    </row>
    <row r="3" ht="22" customHeight="1">
      <c r="A3" s="7" t="inlineStr">
        <is>
          <t>Dönem Sonu Yİ-ÜFE Endeksi (Aralık)</t>
        </is>
      </c>
      <c r="B3" s="6" t="n">
        <v>3750</v>
      </c>
      <c r="C3" s="7" t="inlineStr">
        <is>
          <t>Cari Dönem Sonu Endeksi</t>
        </is>
      </c>
    </row>
    <row r="4" ht="22" customHeight="1">
      <c r="A4" s="7" t="inlineStr">
        <is>
          <t>Bir Önceki Dönem Sonu Yİ-ÜFE Endeksi (Eylül)</t>
        </is>
      </c>
      <c r="B4" s="6" t="n">
        <v>3420</v>
      </c>
      <c r="C4" s="7" t="inlineStr">
        <is>
          <t>Önceki Geçici Vergi / Yıl Sonu</t>
        </is>
      </c>
    </row>
    <row r="5" ht="22" customHeight="1">
      <c r="A5" s="7" t="inlineStr">
        <is>
          <t>Ortalama Yİ-ÜFE Endeksi</t>
        </is>
      </c>
      <c r="B5" s="6">
        <f>(B2+B3)/2</f>
        <v/>
      </c>
      <c r="C5" s="7" t="inlineStr">
        <is>
          <t>Basit Aritmetik Ortalama</t>
        </is>
      </c>
    </row>
    <row r="6" ht="22" customHeight="1">
      <c r="A6" s="7" t="inlineStr">
        <is>
          <t>Basit Ortalama Düzeltme Katsayısı</t>
        </is>
      </c>
      <c r="B6" s="18">
        <f>B2/B4</f>
        <v/>
      </c>
      <c r="C6" s="7" t="inlineStr">
        <is>
          <t>Son Endeks / Ortalama Endeks</t>
        </is>
      </c>
    </row>
    <row r="7" ht="22" customHeight="1">
      <c r="A7" s="4" t="inlineStr">
        <is>
          <t>Düzeltilmiş Stok Değeri (TL)</t>
        </is>
      </c>
      <c r="B7" s="19">
        <f>B1*B5</f>
        <v/>
      </c>
      <c r="C7" s="7" t="inlineStr">
        <is>
          <t>Stok Tutarı * Katsayı</t>
        </is>
      </c>
    </row>
    <row r="8" ht="22" customHeight="1">
      <c r="A8" s="20" t="inlineStr">
        <is>
          <t>698 Stok Enflasyon Düzeltme Farkı (TL)</t>
        </is>
      </c>
      <c r="B8" s="21">
        <f>B6-B1</f>
        <v/>
      </c>
      <c r="C8" s="22" t="inlineStr">
        <is>
          <t>698 Hesabın Alacağına Kaydedilecek Tutar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2026-10-23T04:04:02Z</dcterms:created>
  <dcterms:modified xmlns:dcterms="http://purl.org/dc/terms/" xmlns:xsi="http://www.w3.org/2001/XMLSchema-instance" xsi:type="dcterms:W3CDTF">2026-10-23T04:04:02Z</dcterms:modified>
</cp:coreProperties>
</file>