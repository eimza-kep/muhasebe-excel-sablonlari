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ıdem ve İhbar Hesab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164" fontId="4" fillId="0" borderId="1" pivotButton="0" quotePrefix="0" xfId="0"/>
    <xf numFmtId="0" fontId="5" fillId="0" borderId="1" pivotButton="0" quotePrefix="0" xfId="0"/>
    <xf numFmtId="0" fontId="5" fillId="4" borderId="1" pivotButton="0" quotePrefix="0" xfId="0"/>
    <xf numFmtId="164" fontId="5" fillId="4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pivotButton="0" quotePrefix="0" xfId="0"/>
    <xf numFmtId="0" fontId="5" fillId="5" borderId="1" pivotButton="0" quotePrefix="0" xfId="0"/>
    <xf numFmtId="164" fontId="5" fillId="5" borderId="1" pivotButton="0" quotePrefix="0" xfId="0"/>
    <xf numFmtId="0" fontId="0" fillId="5" borderId="1" applyAlignment="1" pivotButton="0" quotePrefix="0" xfId="0">
      <alignment horizontal="center"/>
    </xf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5" customWidth="1" min="1" max="1"/>
    <col width="17" customWidth="1" min="2" max="2"/>
    <col width="13" customWidth="1" min="3" max="3"/>
    <col width="46" customWidth="1" min="4" max="4"/>
  </cols>
  <sheetData>
    <row r="1" ht="35" customHeight="1">
      <c r="A1" s="1" t="inlineStr">
        <is>
          <t>KIDEM VE İHBAR TAZMİNATI HESAPLAMA TABLOSU</t>
        </is>
      </c>
    </row>
    <row r="2">
      <c r="A2" s="2" t="inlineStr">
        <is>
          <t>4857 Sayılı İş Kanunu ve Damga Vergisi Kanunu Esas Alınmıştır</t>
        </is>
      </c>
    </row>
    <row r="3"/>
    <row r="4" ht="28" customHeight="1">
      <c r="A4" s="3" t="inlineStr">
        <is>
          <t>Parametre / Hesap Kalemi</t>
        </is>
      </c>
      <c r="B4" s="3" t="inlineStr">
        <is>
          <t>Değer</t>
        </is>
      </c>
      <c r="C4" s="3" t="inlineStr">
        <is>
          <t>Birim</t>
        </is>
      </c>
      <c r="D4" s="3" t="inlineStr">
        <is>
          <t>Yasal Dayanak / Açıklama</t>
        </is>
      </c>
    </row>
    <row r="5">
      <c r="A5" s="4" t="inlineStr">
        <is>
          <t>Personel Adı Soyadı</t>
        </is>
      </c>
      <c r="B5" s="4" t="inlineStr">
        <is>
          <t>Mehmet Yılmaz</t>
        </is>
      </c>
      <c r="C5" s="5" t="inlineStr"/>
      <c r="D5" s="4" t="inlineStr">
        <is>
          <t>Çalışan kimlik bilgisi</t>
        </is>
      </c>
    </row>
    <row r="6">
      <c r="A6" s="4" t="inlineStr">
        <is>
          <t>İşe Giriş Tarihi</t>
        </is>
      </c>
      <c r="B6" s="4" t="inlineStr">
        <is>
          <t>2021-03-01</t>
        </is>
      </c>
      <c r="C6" s="5" t="inlineStr"/>
      <c r="D6" s="4" t="inlineStr">
        <is>
          <t>Sözleşme başlangıcı</t>
        </is>
      </c>
    </row>
    <row r="7">
      <c r="A7" s="4" t="inlineStr">
        <is>
          <t>İşten Ayrılış Tarihi</t>
        </is>
      </c>
      <c r="B7" s="4" t="inlineStr">
        <is>
          <t>2026-03-01</t>
        </is>
      </c>
      <c r="C7" s="5" t="inlineStr"/>
      <c r="D7" s="4" t="inlineStr">
        <is>
          <t>Fesih tarihi</t>
        </is>
      </c>
    </row>
    <row r="8">
      <c r="A8" s="4" t="inlineStr">
        <is>
          <t>Toplam Hizmet Süresi (Tam Yıl)</t>
        </is>
      </c>
      <c r="B8" s="4" t="n">
        <v>5</v>
      </c>
      <c r="C8" s="5" t="inlineStr">
        <is>
          <t>Yıl</t>
        </is>
      </c>
      <c r="D8" s="4" t="inlineStr">
        <is>
          <t>Kıdeme esas hizmet yılı</t>
        </is>
      </c>
    </row>
    <row r="9">
      <c r="A9" s="4" t="inlineStr">
        <is>
          <t>Aylık Çıplak Brüt Ücret</t>
        </is>
      </c>
      <c r="B9" s="6" t="n">
        <v>45000</v>
      </c>
      <c r="C9" s="5" t="inlineStr">
        <is>
          <t>TL</t>
        </is>
      </c>
      <c r="D9" s="4" t="inlineStr">
        <is>
          <t>Bordrodaki brüt ücret</t>
        </is>
      </c>
    </row>
    <row r="10">
      <c r="A10" s="4" t="inlineStr">
        <is>
          <t>Aylık Düzenli Yan Haklar (Yol/Yemek/İkramiye)</t>
        </is>
      </c>
      <c r="B10" s="6" t="n">
        <v>5000</v>
      </c>
      <c r="C10" s="5" t="inlineStr">
        <is>
          <t>TL</t>
        </is>
      </c>
      <c r="D10" s="4" t="inlineStr">
        <is>
          <t>Giydirmeye dahil nakit haklar</t>
        </is>
      </c>
    </row>
    <row r="11">
      <c r="A11" s="4" t="inlineStr">
        <is>
          <t>Giydirilmiş Brüt Aylık Ücret</t>
        </is>
      </c>
      <c r="B11" s="6">
        <f>B9+B10</f>
        <v/>
      </c>
      <c r="C11" s="5" t="inlineStr">
        <is>
          <t>TL</t>
        </is>
      </c>
      <c r="D11" s="4" t="inlineStr">
        <is>
          <t>Çıplak Brüt + Düzenli Yardımlar</t>
        </is>
      </c>
    </row>
    <row r="12">
      <c r="A12" s="4" t="inlineStr">
        <is>
          <t>Kıdem Tazminatı Tavanı (Mevcut Dönem)</t>
        </is>
      </c>
      <c r="B12" s="6" t="n">
        <v>53000</v>
      </c>
      <c r="C12" s="5" t="inlineStr">
        <is>
          <t>TL</t>
        </is>
      </c>
      <c r="D12" s="4" t="inlineStr">
        <is>
          <t>Devlet memuru azami emekli ikramiyesi</t>
        </is>
      </c>
    </row>
    <row r="13">
      <c r="A13" s="4" t="inlineStr">
        <is>
          <t>Tazminata Esas Tavanlı Brüt Ücret</t>
        </is>
      </c>
      <c r="B13" s="6">
        <f>MIN(B11, B12)</f>
        <v/>
      </c>
      <c r="C13" s="5" t="inlineStr">
        <is>
          <t>TL</t>
        </is>
      </c>
      <c r="D13" s="4" t="inlineStr">
        <is>
          <t>Tavanı aşmayan giydirilmiş brüt</t>
        </is>
      </c>
    </row>
    <row r="14">
      <c r="A14" s="7" t="inlineStr">
        <is>
          <t>BRÜT KIDEM TAZMİNATI</t>
        </is>
      </c>
      <c r="B14" s="6">
        <f>B13*B8</f>
        <v/>
      </c>
      <c r="C14" s="5" t="inlineStr">
        <is>
          <t>TL</t>
        </is>
      </c>
      <c r="D14" s="4" t="inlineStr">
        <is>
          <t>Tavanlı Ücret * Hizmet Yılı</t>
        </is>
      </c>
    </row>
    <row r="15">
      <c r="A15" s="4" t="inlineStr">
        <is>
          <t>Kıdem Damga Vergisi Kesintisi (Binde 7.59)</t>
        </is>
      </c>
      <c r="B15" s="6">
        <f>B14*0.00759</f>
        <v/>
      </c>
      <c r="C15" s="5" t="inlineStr">
        <is>
          <t>TL</t>
        </is>
      </c>
      <c r="D15" s="4" t="inlineStr">
        <is>
          <t>Damga Vergisi Kanunu Tablo 4</t>
        </is>
      </c>
    </row>
    <row r="16">
      <c r="A16" s="8" t="inlineStr">
        <is>
          <t>NET KIDEM TAZMİNATI</t>
        </is>
      </c>
      <c r="B16" s="9">
        <f>B14-B15</f>
        <v/>
      </c>
      <c r="C16" s="10" t="inlineStr">
        <is>
          <t>TL</t>
        </is>
      </c>
      <c r="D16" s="11" t="inlineStr">
        <is>
          <t>Personelin eline geçecek net kıdem</t>
        </is>
      </c>
    </row>
    <row r="17">
      <c r="A17" s="4" t="inlineStr">
        <is>
          <t>İhbar Öneli Süresi (Hizmet Süresine Göre)</t>
        </is>
      </c>
      <c r="B17" s="4" t="n">
        <v>8</v>
      </c>
      <c r="C17" s="5" t="inlineStr">
        <is>
          <t>Hafta</t>
        </is>
      </c>
      <c r="D17" s="4" t="inlineStr">
        <is>
          <t>3 yıldan fazla kıdem için 8 hafta (56 gün)</t>
        </is>
      </c>
    </row>
    <row r="18">
      <c r="A18" s="7" t="inlineStr">
        <is>
          <t>BRÜT İHBAR TAZMİNATI</t>
        </is>
      </c>
      <c r="B18" s="6">
        <f>(B11/30)*56</f>
        <v/>
      </c>
      <c r="C18" s="5" t="inlineStr">
        <is>
          <t>TL</t>
        </is>
      </c>
      <c r="D18" s="4" t="inlineStr">
        <is>
          <t>Günlük Giydirilmiş Brüt * 56 Gün</t>
        </is>
      </c>
    </row>
    <row r="19">
      <c r="A19" s="4" t="inlineStr">
        <is>
          <t>İhbar Gelir Vergisi Kesintisi (%20 Ortalama)</t>
        </is>
      </c>
      <c r="B19" s="6">
        <f>B18*0.20</f>
        <v/>
      </c>
      <c r="C19" s="5" t="inlineStr">
        <is>
          <t>TL</t>
        </is>
      </c>
      <c r="D19" s="4" t="inlineStr">
        <is>
          <t>İhbar gelir vergisine tabidir</t>
        </is>
      </c>
    </row>
    <row r="20">
      <c r="A20" s="4" t="inlineStr">
        <is>
          <t>İhbar Damga Vergisi Kesintisi (Binde 7.59)</t>
        </is>
      </c>
      <c r="B20" s="6">
        <f>B18*0.00759</f>
        <v/>
      </c>
      <c r="C20" s="5" t="inlineStr">
        <is>
          <t>TL</t>
        </is>
      </c>
      <c r="D20" s="4" t="inlineStr">
        <is>
          <t>Damga vergisi kesintisi</t>
        </is>
      </c>
    </row>
    <row r="21">
      <c r="A21" s="8" t="inlineStr">
        <is>
          <t>NET İHBAR TAZMİNATI</t>
        </is>
      </c>
      <c r="B21" s="9">
        <f>B18-B19-B20</f>
        <v/>
      </c>
      <c r="C21" s="10" t="inlineStr">
        <is>
          <t>TL</t>
        </is>
      </c>
      <c r="D21" s="11" t="inlineStr">
        <is>
          <t>Personele ödenecek net ihbar</t>
        </is>
      </c>
    </row>
    <row r="22">
      <c r="A22" s="12" t="inlineStr">
        <is>
          <t>ÖDENECEK TOPLAM NET TAZMİNAT (KIDEM + İHBAR)</t>
        </is>
      </c>
      <c r="B22" s="13">
        <f>B16+B21</f>
        <v/>
      </c>
      <c r="C22" s="14" t="inlineStr">
        <is>
          <t>TL</t>
        </is>
      </c>
      <c r="D22" s="15" t="inlineStr">
        <is>
          <t>Bankadan ödenecek nihai net tutar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2026-09-20T08:38:13Z</dcterms:created>
  <dcterms:modified xsi:type="dcterms:W3CDTF">2026-09-20T08:38:13Z</dcterms:modified>
</cp:coreProperties>
</file>