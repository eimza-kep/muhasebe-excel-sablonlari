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DV Tevkifat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/10"/>
    <numFmt numFmtId="165" formatCode="#,##0.00 &quot;TL&quot;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color rgb="000F172A"/>
      <sz val="10"/>
    </font>
    <font>
      <name val="Segoe UI"/>
      <b val="1"/>
      <color rgb="000F172A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5" fontId="3" fillId="0" borderId="1" pivotButton="0" quotePrefix="0" xfId="0"/>
    <xf numFmtId="0" fontId="4" fillId="3" borderId="2" pivotButton="0" quotePrefix="0" xfId="0"/>
    <xf numFmtId="165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49" customWidth="1" min="1" max="1"/>
    <col width="14" customWidth="1" min="2" max="2"/>
    <col width="14" customWidth="1" min="3" max="3"/>
    <col width="27" customWidth="1" min="4" max="4"/>
    <col width="25" customWidth="1" min="5" max="5"/>
    <col width="18" customWidth="1" min="6" max="6"/>
    <col width="15" customWidth="1" min="7" max="7"/>
    <col width="20" customWidth="1" min="8" max="8"/>
    <col width="34" customWidth="1" min="9" max="9"/>
    <col width="21" customWidth="1" min="10" max="10"/>
  </cols>
  <sheetData>
    <row r="1" ht="35" customHeight="1">
      <c r="A1" s="1" t="inlineStr">
        <is>
          <t>KDV TEVKİFAT HESAPLAMA VE KDV-2 BEYAN TABLOSU</t>
        </is>
      </c>
    </row>
    <row r="2"/>
    <row r="3" ht="28" customHeight="1">
      <c r="A3" s="2" t="inlineStr">
        <is>
          <t>Sıra</t>
        </is>
      </c>
      <c r="B3" s="2" t="inlineStr">
        <is>
          <t>Fatura No</t>
        </is>
      </c>
      <c r="C3" s="2" t="inlineStr">
        <is>
          <t>Tarih</t>
        </is>
      </c>
      <c r="D3" s="2" t="inlineStr">
        <is>
          <t>Alıcı / Mükellef Ünvanı</t>
        </is>
      </c>
      <c r="E3" s="2" t="inlineStr">
        <is>
          <t>Hizmet / İş Türü</t>
        </is>
      </c>
      <c r="F3" s="2" t="inlineStr">
        <is>
          <t>Tevkifat Oranı</t>
        </is>
      </c>
      <c r="G3" s="2" t="inlineStr">
        <is>
          <t>Matrah (TL)</t>
        </is>
      </c>
      <c r="H3" s="2" t="inlineStr">
        <is>
          <t>Toplam KDV (%20)</t>
        </is>
      </c>
      <c r="I3" s="2" t="inlineStr">
        <is>
          <t>Tevkif Edilen KDV (2 Nolu KDV)</t>
        </is>
      </c>
      <c r="J3" s="2" t="inlineStr">
        <is>
          <t>Tahsil Edilen KDV</t>
        </is>
      </c>
    </row>
    <row r="4">
      <c r="A4" s="3" t="n">
        <v>1</v>
      </c>
      <c r="B4" s="4" t="inlineStr">
        <is>
          <t>FTR2026001</t>
        </is>
      </c>
      <c r="C4" s="3" t="inlineStr">
        <is>
          <t>2026-01-10</t>
        </is>
      </c>
      <c r="D4" s="4" t="inlineStr">
        <is>
          <t>Anadolu İnşaat A.Ş.</t>
        </is>
      </c>
      <c r="E4" s="4" t="inlineStr">
        <is>
          <t>Yapım İşleri</t>
        </is>
      </c>
      <c r="F4" s="5" t="n">
        <v>0.4</v>
      </c>
      <c r="G4" s="6" t="n">
        <v>150000</v>
      </c>
      <c r="H4" s="6">
        <f>G4*0.20</f>
        <v/>
      </c>
      <c r="I4" s="6">
        <f>H4*F4</f>
        <v/>
      </c>
      <c r="J4" s="6">
        <f>H4-I4</f>
        <v/>
      </c>
    </row>
    <row r="5">
      <c r="A5" s="3" t="n">
        <v>2</v>
      </c>
      <c r="B5" s="4" t="inlineStr">
        <is>
          <t>FTR2026002</t>
        </is>
      </c>
      <c r="C5" s="3" t="inlineStr">
        <is>
          <t>2026-01-15</t>
        </is>
      </c>
      <c r="D5" s="4" t="inlineStr">
        <is>
          <t>Marmara Lojistik Ltd.</t>
        </is>
      </c>
      <c r="E5" s="4" t="inlineStr">
        <is>
          <t>Servis Taşımacılığı</t>
        </is>
      </c>
      <c r="F5" s="5" t="n">
        <v>0.5</v>
      </c>
      <c r="G5" s="6" t="n">
        <v>45000</v>
      </c>
      <c r="H5" s="6">
        <f>G5*0.20</f>
        <v/>
      </c>
      <c r="I5" s="6">
        <f>H5*F5</f>
        <v/>
      </c>
      <c r="J5" s="6">
        <f>H5-I5</f>
        <v/>
      </c>
    </row>
    <row r="6">
      <c r="A6" s="3" t="n">
        <v>3</v>
      </c>
      <c r="B6" s="4" t="inlineStr">
        <is>
          <t>FTR2026003</t>
        </is>
      </c>
      <c r="C6" s="3" t="inlineStr">
        <is>
          <t>2026-01-20</t>
        </is>
      </c>
      <c r="D6" s="4" t="inlineStr">
        <is>
          <t>Boğaziçi Teknoloji A.Ş.</t>
        </is>
      </c>
      <c r="E6" s="4" t="inlineStr">
        <is>
          <t>Danışmanlık / Denetim</t>
        </is>
      </c>
      <c r="F6" s="5" t="n">
        <v>0.5</v>
      </c>
      <c r="G6" s="6" t="n">
        <v>80000</v>
      </c>
      <c r="H6" s="6">
        <f>G6*0.20</f>
        <v/>
      </c>
      <c r="I6" s="6">
        <f>H6*F6</f>
        <v/>
      </c>
      <c r="J6" s="6">
        <f>H6-I6</f>
        <v/>
      </c>
    </row>
    <row r="7">
      <c r="A7" s="3" t="n">
        <v>4</v>
      </c>
      <c r="B7" s="4" t="inlineStr">
        <is>
          <t>FTR2026004</t>
        </is>
      </c>
      <c r="C7" s="3" t="inlineStr">
        <is>
          <t>2026-01-25</t>
        </is>
      </c>
      <c r="D7" s="4" t="inlineStr">
        <is>
          <t>Ege Gıda Dağıtım</t>
        </is>
      </c>
      <c r="E7" s="4" t="inlineStr">
        <is>
          <t>Temizlik Hizmeti</t>
        </is>
      </c>
      <c r="F7" s="5" t="n">
        <v>0.9</v>
      </c>
      <c r="G7" s="6" t="n">
        <v>30000</v>
      </c>
      <c r="H7" s="6">
        <f>G7*0.20</f>
        <v/>
      </c>
      <c r="I7" s="6">
        <f>H7*F7</f>
        <v/>
      </c>
      <c r="J7" s="6">
        <f>H7-I7</f>
        <v/>
      </c>
    </row>
    <row r="8">
      <c r="A8" s="3" t="n">
        <v>5</v>
      </c>
      <c r="B8" s="4" t="inlineStr">
        <is>
          <t>FTR2026005</t>
        </is>
      </c>
      <c r="C8" s="3" t="inlineStr">
        <is>
          <t>2026-01-28</t>
        </is>
      </c>
      <c r="D8" s="4" t="inlineStr">
        <is>
          <t>Akdeniz Otomotiv</t>
        </is>
      </c>
      <c r="E8" s="4" t="inlineStr">
        <is>
          <t>Özel Güvenlik Hizmeti</t>
        </is>
      </c>
      <c r="F8" s="5" t="n">
        <v>0.9</v>
      </c>
      <c r="G8" s="6" t="n">
        <v>60000</v>
      </c>
      <c r="H8" s="6">
        <f>G8*0.20</f>
        <v/>
      </c>
      <c r="I8" s="6">
        <f>H8*F8</f>
        <v/>
      </c>
      <c r="J8" s="6">
        <f>H8-I8</f>
        <v/>
      </c>
    </row>
    <row r="9">
      <c r="A9" s="7" t="n"/>
      <c r="B9" s="7" t="n"/>
      <c r="C9" s="7" t="n"/>
      <c r="D9" s="7" t="inlineStr">
        <is>
          <t>TOPLAMLAR</t>
        </is>
      </c>
      <c r="E9" s="7" t="n"/>
      <c r="F9" s="7" t="n"/>
      <c r="G9" s="8">
        <f>SUM(G4:G8)</f>
        <v/>
      </c>
      <c r="H9" s="8">
        <f>SUM(H4:H8)</f>
        <v/>
      </c>
      <c r="I9" s="8">
        <f>SUM(I4:I8)</f>
        <v/>
      </c>
      <c r="J9" s="8">
        <f>SUM(J4:J8)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2026-09-20T08:38:13Z</dcterms:created>
  <dcterms:modified xsi:type="dcterms:W3CDTF">2026-09-20T08:38:13Z</dcterms:modified>
</cp:coreProperties>
</file>