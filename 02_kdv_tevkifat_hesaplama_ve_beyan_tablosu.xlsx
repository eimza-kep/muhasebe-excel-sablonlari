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V Tevkifat Listesi" sheetId="1" state="visible" r:id="rId1"/>
    <sheet xmlns:r="http://schemas.openxmlformats.org/officeDocument/2006/relationships" name="GİB Tevkifat Kodlar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E2E8F0"/>
      <sz val="9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4" fontId="4" fillId="0" borderId="1" pivotButton="0" quotePrefix="0" xfId="0"/>
    <xf numFmtId="0" fontId="5" fillId="5" borderId="2" pivotButton="0" quotePrefix="0" xfId="0"/>
    <xf numFmtId="4" fontId="5" fillId="5" borderId="2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4" customWidth="1" min="3" max="3"/>
    <col width="40" customWidth="1" min="4" max="4"/>
    <col width="12" customWidth="1" min="5" max="5"/>
    <col width="40" customWidth="1" min="6" max="6"/>
    <col width="18" customWidth="1" min="7" max="7"/>
    <col width="15" customWidth="1" min="8" max="8"/>
    <col width="24" customWidth="1" min="9" max="9"/>
    <col width="21" customWidth="1" min="10" max="10"/>
    <col width="21" customWidth="1" min="11" max="11"/>
    <col width="18" customWidth="1" min="12" max="12"/>
  </cols>
  <sheetData>
    <row r="1" ht="25" customHeight="1">
      <c r="A1" s="1" t="inlineStr">
        <is>
          <t>GİB E-FATURA &amp; E-ARŞİV KDV TEVKİFAT HESAPLAMA VE BEYAN ÇİZELGESİ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8" customHeight="1">
      <c r="A2" s="2" t="inlineStr">
        <is>
          <t>GİB 601-626 Tevkifat Kodları, KDV-2 Alıcı Beyanı ve Fatura Eşleştirme Motoru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8" customHeight="1">
      <c r="A3" s="3" t="inlineStr">
        <is>
          <t>Sıra</t>
        </is>
      </c>
      <c r="B3" s="3" t="inlineStr">
        <is>
          <t>Fatura No</t>
        </is>
      </c>
      <c r="C3" s="3" t="inlineStr">
        <is>
          <t>Tarih</t>
        </is>
      </c>
      <c r="D3" s="3" t="inlineStr">
        <is>
          <t>Alıcı / Mükellef Unvanı</t>
        </is>
      </c>
      <c r="E3" s="3" t="inlineStr">
        <is>
          <t>GİB Kodu</t>
        </is>
      </c>
      <c r="F3" s="3" t="inlineStr">
        <is>
          <t>Tevkifat Kapsamı / İş Türü</t>
        </is>
      </c>
      <c r="G3" s="3" t="inlineStr">
        <is>
          <t>Tevkifat Oranı</t>
        </is>
      </c>
      <c r="H3" s="3" t="inlineStr">
        <is>
          <t>Matrah (TL)</t>
        </is>
      </c>
      <c r="I3" s="3" t="inlineStr">
        <is>
          <t>Hesaplanan KDV (%20)</t>
        </is>
      </c>
      <c r="J3" s="3" t="inlineStr">
        <is>
          <t>Tevkif Edilen KDV</t>
        </is>
      </c>
      <c r="K3" s="3" t="inlineStr">
        <is>
          <t>Tahsil Edilen KDV</t>
        </is>
      </c>
      <c r="L3" s="3" t="inlineStr">
        <is>
          <t>Fatura Toplamı</t>
        </is>
      </c>
    </row>
    <row r="4" ht="20" customHeight="1">
      <c r="A4" s="4" t="n">
        <v>1</v>
      </c>
      <c r="B4" s="4" t="inlineStr">
        <is>
          <t>FTR2026001</t>
        </is>
      </c>
      <c r="C4" s="4" t="inlineStr">
        <is>
          <t>2026-03-05</t>
        </is>
      </c>
      <c r="D4" s="5" t="inlineStr">
        <is>
          <t>Anadolu Yapı Yatırım A.Ş.</t>
        </is>
      </c>
      <c r="E4" s="4" t="inlineStr">
        <is>
          <t>601</t>
        </is>
      </c>
      <c r="F4" s="5" t="inlineStr">
        <is>
          <t>Yapım İşleri ve Mimarlık-Mühendislik</t>
        </is>
      </c>
      <c r="G4" s="6" t="n">
        <v>0.4</v>
      </c>
      <c r="H4" s="7" t="n">
        <v>250000</v>
      </c>
      <c r="I4" s="7">
        <f>H4*0.20</f>
        <v/>
      </c>
      <c r="J4" s="7">
        <f>I4*G4</f>
        <v/>
      </c>
      <c r="K4" s="7">
        <f>I4-J4</f>
        <v/>
      </c>
      <c r="L4" s="7">
        <f>H4+K4</f>
        <v/>
      </c>
    </row>
    <row r="5" ht="20" customHeight="1">
      <c r="A5" s="4" t="n">
        <v>2</v>
      </c>
      <c r="B5" s="4" t="inlineStr">
        <is>
          <t>FTR2026002</t>
        </is>
      </c>
      <c r="C5" s="4" t="inlineStr">
        <is>
          <t>2026-03-08</t>
        </is>
      </c>
      <c r="D5" s="5" t="inlineStr">
        <is>
          <t>Marmara Uluslararası Lojistik Ltd.</t>
        </is>
      </c>
      <c r="E5" s="4" t="inlineStr">
        <is>
          <t>613</t>
        </is>
      </c>
      <c r="F5" s="5" t="inlineStr">
        <is>
          <t>Yük Taşımacılığı Hizmeti</t>
        </is>
      </c>
      <c r="G5" s="6" t="n">
        <v>0.2</v>
      </c>
      <c r="H5" s="7" t="n">
        <v>85000</v>
      </c>
      <c r="I5" s="7">
        <f>H5*0.20</f>
        <v/>
      </c>
      <c r="J5" s="7">
        <f>I5*G5</f>
        <v/>
      </c>
      <c r="K5" s="7">
        <f>I5-J5</f>
        <v/>
      </c>
      <c r="L5" s="7">
        <f>H5+K5</f>
        <v/>
      </c>
    </row>
    <row r="6" ht="20" customHeight="1">
      <c r="A6" s="4" t="n">
        <v>3</v>
      </c>
      <c r="B6" s="4" t="inlineStr">
        <is>
          <t>FTR2026003</t>
        </is>
      </c>
      <c r="C6" s="4" t="inlineStr">
        <is>
          <t>2026-03-12</t>
        </is>
      </c>
      <c r="D6" s="5" t="inlineStr">
        <is>
          <t>Boğaziçi Denetim ve Danışmanlık A.Ş.</t>
        </is>
      </c>
      <c r="E6" s="4" t="inlineStr">
        <is>
          <t>602</t>
        </is>
      </c>
      <c r="F6" s="5" t="inlineStr">
        <is>
          <t>Danışmanlık ve Denetim Hizmetleri</t>
        </is>
      </c>
      <c r="G6" s="6" t="n">
        <v>0.9</v>
      </c>
      <c r="H6" s="7" t="n">
        <v>120000</v>
      </c>
      <c r="I6" s="7">
        <f>H6*0.20</f>
        <v/>
      </c>
      <c r="J6" s="7">
        <f>I6*G6</f>
        <v/>
      </c>
      <c r="K6" s="7">
        <f>I6-J6</f>
        <v/>
      </c>
      <c r="L6" s="7">
        <f>H6+K6</f>
        <v/>
      </c>
    </row>
    <row r="7" ht="20" customHeight="1">
      <c r="A7" s="4" t="n">
        <v>4</v>
      </c>
      <c r="B7" s="4" t="inlineStr">
        <is>
          <t>FTR2026004</t>
        </is>
      </c>
      <c r="C7" s="4" t="inlineStr">
        <is>
          <t>2026-03-15</t>
        </is>
      </c>
      <c r="D7" s="5" t="inlineStr">
        <is>
          <t>Ege Çelik Endüstrisi Sanayi Ltd.</t>
        </is>
      </c>
      <c r="E7" s="4" t="inlineStr">
        <is>
          <t>622</t>
        </is>
      </c>
      <c r="F7" s="5" t="inlineStr">
        <is>
          <t>Demir-Çelik Ürünlerinin Teslimi</t>
        </is>
      </c>
      <c r="G7" s="6" t="n">
        <v>0.4</v>
      </c>
      <c r="H7" s="7" t="n">
        <v>400000</v>
      </c>
      <c r="I7" s="7">
        <f>H7*0.20</f>
        <v/>
      </c>
      <c r="J7" s="7">
        <f>I7*G7</f>
        <v/>
      </c>
      <c r="K7" s="7">
        <f>I7-J7</f>
        <v/>
      </c>
      <c r="L7" s="7">
        <f>H7+K7</f>
        <v/>
      </c>
    </row>
    <row r="8" ht="20" customHeight="1">
      <c r="A8" s="4" t="n">
        <v>5</v>
      </c>
      <c r="B8" s="4" t="inlineStr">
        <is>
          <t>FTR2026005</t>
        </is>
      </c>
      <c r="C8" s="4" t="inlineStr">
        <is>
          <t>2026-03-20</t>
        </is>
      </c>
      <c r="D8" s="5" t="inlineStr">
        <is>
          <t>Akdeniz Tekstil Konfeksiyon A.Ş.</t>
        </is>
      </c>
      <c r="E8" s="4" t="inlineStr">
        <is>
          <t>608</t>
        </is>
      </c>
      <c r="F8" s="5" t="inlineStr">
        <is>
          <t>Fason Tekstil ve Konfeksiyon İşleri</t>
        </is>
      </c>
      <c r="G8" s="6" t="n">
        <v>0.7</v>
      </c>
      <c r="H8" s="7" t="n">
        <v>95000</v>
      </c>
      <c r="I8" s="7">
        <f>H8*0.20</f>
        <v/>
      </c>
      <c r="J8" s="7">
        <f>I8*G8</f>
        <v/>
      </c>
      <c r="K8" s="7">
        <f>I8-J8</f>
        <v/>
      </c>
      <c r="L8" s="7">
        <f>H8+K8</f>
        <v/>
      </c>
    </row>
    <row r="9" ht="20" customHeight="1">
      <c r="A9" s="4" t="n">
        <v>6</v>
      </c>
      <c r="B9" s="4" t="inlineStr">
        <is>
          <t>FTR2026006</t>
        </is>
      </c>
      <c r="C9" s="4" t="inlineStr">
        <is>
          <t>2026-03-25</t>
        </is>
      </c>
      <c r="D9" s="5" t="inlineStr">
        <is>
          <t>Yıldız Özel Güvenlik ve Koruma Ltd.</t>
        </is>
      </c>
      <c r="E9" s="4" t="inlineStr">
        <is>
          <t>606</t>
        </is>
      </c>
      <c r="F9" s="5" t="inlineStr">
        <is>
          <t>Özel Güvenlik Hizmeti</t>
        </is>
      </c>
      <c r="G9" s="6" t="n">
        <v>0.9</v>
      </c>
      <c r="H9" s="7" t="n">
        <v>70000</v>
      </c>
      <c r="I9" s="7">
        <f>H9*0.20</f>
        <v/>
      </c>
      <c r="J9" s="7">
        <f>I9*G9</f>
        <v/>
      </c>
      <c r="K9" s="7">
        <f>I9-J9</f>
        <v/>
      </c>
      <c r="L9" s="7">
        <f>H9+K9</f>
        <v/>
      </c>
    </row>
    <row r="10" ht="24" customHeight="1">
      <c r="A10" s="8" t="n"/>
      <c r="B10" s="8" t="n"/>
      <c r="C10" s="8" t="n"/>
      <c r="D10" s="8" t="inlineStr">
        <is>
          <t>GENEL TOPLAMLAR</t>
        </is>
      </c>
      <c r="E10" s="8" t="n"/>
      <c r="F10" s="8" t="n"/>
      <c r="G10" s="8" t="n"/>
      <c r="H10" s="9">
        <f>SUM(H4:H9)</f>
        <v/>
      </c>
      <c r="I10" s="9">
        <f>SUM(I4:I9)</f>
        <v/>
      </c>
      <c r="J10" s="9">
        <f>SUM(J4:J9)</f>
        <v/>
      </c>
      <c r="K10" s="9">
        <f>SUM(K4:K9)</f>
        <v/>
      </c>
      <c r="L10" s="9">
        <f>SUM(L4:L9)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3" customWidth="1" min="1" max="1"/>
    <col width="97" customWidth="1" min="2" max="2"/>
    <col width="26" customWidth="1" min="3" max="3"/>
    <col width="28" customWidth="1" min="4" max="4"/>
    <col width="92" customWidth="1" min="5" max="5"/>
  </cols>
  <sheetData>
    <row r="1">
      <c r="A1" s="1" t="inlineStr">
        <is>
          <t>GELİR İDARESİ BAŞKANLIĞI (GİB) KDV TEVKİFAT KODLARI LİSTESİ</t>
        </is>
      </c>
      <c r="B1" s="1" t="n"/>
      <c r="C1" s="1" t="n"/>
      <c r="D1" s="1" t="n"/>
      <c r="E1" s="1" t="n"/>
    </row>
    <row r="2" ht="25" customHeight="1">
      <c r="A2" s="10" t="inlineStr">
        <is>
          <t>GİB Kodu</t>
        </is>
      </c>
      <c r="B2" s="10" t="inlineStr">
        <is>
          <t>İşlem Türü / Hizmet Adı</t>
        </is>
      </c>
      <c r="C2" s="10" t="inlineStr">
        <is>
          <t>Tevkifat Oranı (Metin)</t>
        </is>
      </c>
      <c r="D2" s="10" t="inlineStr">
        <is>
          <t>Tevkifat Oranı (Ondalık)</t>
        </is>
      </c>
      <c r="E2" s="10" t="inlineStr">
        <is>
          <t>Açıklama &amp; Yasal Dayanak</t>
        </is>
      </c>
    </row>
    <row r="3" ht="19" customHeight="1">
      <c r="A3" s="4" t="inlineStr">
        <is>
          <t>601</t>
        </is>
      </c>
      <c r="B3" s="5" t="inlineStr">
        <is>
          <t>Yapım İşleri ile Bu İşlerle Birlikte İfa Edilen Mühendislik-Mimarlık ve Etüt-Proje Hizmetleri</t>
        </is>
      </c>
      <c r="C3" s="4" t="inlineStr">
        <is>
          <t>4/10</t>
        </is>
      </c>
      <c r="D3" s="6" t="n">
        <v>0.4</v>
      </c>
      <c r="E3" s="5" t="inlineStr">
        <is>
          <t>Belirlenmiş alıcılara veya KDV mükelleflerine karşı ifa edilen yapım taahhüt işleri.</t>
        </is>
      </c>
    </row>
    <row r="4" ht="19" customHeight="1">
      <c r="A4" s="4" t="inlineStr">
        <is>
          <t>602</t>
        </is>
      </c>
      <c r="B4" s="5" t="inlineStr">
        <is>
          <t>Etüt, Plan-Proje, Danışmanlık, Denetim ve Benzeri Hizmetler</t>
        </is>
      </c>
      <c r="C4" s="4" t="inlineStr">
        <is>
          <t>9/10</t>
        </is>
      </c>
      <c r="D4" s="6" t="n">
        <v>0.9</v>
      </c>
      <c r="E4" s="5" t="inlineStr">
        <is>
          <t>Piyasa araştırması, teknik müşavirlik, mali danışmanlık ve denetim hizmetleri.</t>
        </is>
      </c>
    </row>
    <row r="5" ht="19" customHeight="1">
      <c r="A5" s="4" t="inlineStr">
        <is>
          <t>603</t>
        </is>
      </c>
      <c r="B5" s="5" t="inlineStr">
        <is>
          <t>Makine, Teçhizat, Demirbaş ve Taşıtlara Ait Tadil, Bakım ve Onarım Hizmetleri</t>
        </is>
      </c>
      <c r="C5" s="4" t="inlineStr">
        <is>
          <t>7/10</t>
        </is>
      </c>
      <c r="D5" s="6" t="n">
        <v>0.7</v>
      </c>
      <c r="E5" s="5" t="inlineStr">
        <is>
          <t>İşletmeye dahil aktif kıymetlerin bakım ve onarım işleri.</t>
        </is>
      </c>
    </row>
    <row r="6" ht="19" customHeight="1">
      <c r="A6" s="4" t="inlineStr">
        <is>
          <t>604</t>
        </is>
      </c>
      <c r="B6" s="5" t="inlineStr">
        <is>
          <t>Yemek Servis ve Organizasyon Hizmetleri</t>
        </is>
      </c>
      <c r="C6" s="4" t="inlineStr">
        <is>
          <t>5/10</t>
        </is>
      </c>
      <c r="D6" s="6" t="n">
        <v>0.5</v>
      </c>
      <c r="E6" s="5" t="inlineStr">
        <is>
          <t>Toplu yemek, tabldot servisi ve catering organizasyonları.</t>
        </is>
      </c>
    </row>
    <row r="7" ht="19" customHeight="1">
      <c r="A7" s="4" t="inlineStr">
        <is>
          <t>605</t>
        </is>
      </c>
      <c r="B7" s="5" t="inlineStr">
        <is>
          <t>İşgücü Temin Hizmetleri (Özel Güvenlik Dahil)</t>
        </is>
      </c>
      <c r="C7" s="4" t="inlineStr">
        <is>
          <t>9/10</t>
        </is>
      </c>
      <c r="D7" s="6" t="n">
        <v>0.9</v>
      </c>
      <c r="E7" s="5" t="inlineStr">
        <is>
          <t>Hizmet akdiyle bağlı personelin başka bir firmanın sevk ve idaresine verilmesi.</t>
        </is>
      </c>
    </row>
    <row r="8" ht="19" customHeight="1">
      <c r="A8" s="4" t="inlineStr">
        <is>
          <t>606</t>
        </is>
      </c>
      <c r="B8" s="5" t="inlineStr">
        <is>
          <t>Özel Güvenlik Hizmeti</t>
        </is>
      </c>
      <c r="C8" s="4" t="inlineStr">
        <is>
          <t>9/10</t>
        </is>
      </c>
      <c r="D8" s="6" t="n">
        <v>0.9</v>
      </c>
      <c r="E8" s="5" t="inlineStr">
        <is>
          <t>5188 sayılı Kanun kapsamında güvenlik şirketlerince sağlanan koruma hizmetleri.</t>
        </is>
      </c>
    </row>
    <row r="9" ht="19" customHeight="1">
      <c r="A9" s="4" t="inlineStr">
        <is>
          <t>607</t>
        </is>
      </c>
      <c r="B9" s="5" t="inlineStr">
        <is>
          <t>Yapı Denetim Hizmetleri</t>
        </is>
      </c>
      <c r="C9" s="4" t="inlineStr">
        <is>
          <t>9/10</t>
        </is>
      </c>
      <c r="D9" s="6" t="n">
        <v>0.9</v>
      </c>
      <c r="E9" s="5" t="inlineStr">
        <is>
          <t>Yapı denetim kuruluşları tarafından arsa sahibi veya müteahhide verilen denetim hizmeti.</t>
        </is>
      </c>
    </row>
    <row r="10" ht="19" customHeight="1">
      <c r="A10" s="4" t="inlineStr">
        <is>
          <t>608</t>
        </is>
      </c>
      <c r="B10" s="5" t="inlineStr">
        <is>
          <t>Fason Olarak Yaptırılan Tekstil ve Konfeksiyon İşleri</t>
        </is>
      </c>
      <c r="C10" s="4" t="inlineStr">
        <is>
          <t>7/10</t>
        </is>
      </c>
      <c r="D10" s="6" t="n">
        <v>0.7</v>
      </c>
      <c r="E10" s="5" t="inlineStr">
        <is>
          <t>Kumaş, deri ve konfeksiyon fason dikim, kesim, boyama ve ütüleme işleri.</t>
        </is>
      </c>
    </row>
    <row r="11" ht="19" customHeight="1">
      <c r="A11" s="4" t="inlineStr">
        <is>
          <t>609</t>
        </is>
      </c>
      <c r="B11" s="5" t="inlineStr">
        <is>
          <t>Turistik Mağazalara Verilen Müşteri Bulma / Götürme Hizmetleri</t>
        </is>
      </c>
      <c r="C11" s="4" t="inlineStr">
        <is>
          <t>9/10</t>
        </is>
      </c>
      <c r="D11" s="6" t="n">
        <v>0.9</v>
      </c>
      <c r="E11" s="5" t="inlineStr">
        <is>
          <t>Rehber ve acenteler tarafından mağazalara müşteri yönlendirilmesi.</t>
        </is>
      </c>
    </row>
    <row r="12" ht="19" customHeight="1">
      <c r="A12" s="4" t="inlineStr">
        <is>
          <t>610</t>
        </is>
      </c>
      <c r="B12" s="5" t="inlineStr">
        <is>
          <t>Spor Kulüplerinin Yayın, Reklâm ve İsim Hakkı Gelirleri</t>
        </is>
      </c>
      <c r="C12" s="4" t="inlineStr">
        <is>
          <t>9/10</t>
        </is>
      </c>
      <c r="D12" s="6" t="n">
        <v>0.9</v>
      </c>
      <c r="E12" s="5" t="inlineStr">
        <is>
          <t>Profesyonel kulüplerin sponsorluk, forma reklamı ve isim hakkı devirleri.</t>
        </is>
      </c>
    </row>
    <row r="13" ht="19" customHeight="1">
      <c r="A13" s="4" t="inlineStr">
        <is>
          <t>611</t>
        </is>
      </c>
      <c r="B13" s="5" t="inlineStr">
        <is>
          <t>Temizlik, Çevre ve Bahçe Bakım Hizmetleri</t>
        </is>
      </c>
      <c r="C13" s="4" t="inlineStr">
        <is>
          <t>9/10</t>
        </is>
      </c>
      <c r="D13" s="6" t="n">
        <v>0.9</v>
      </c>
      <c r="E13" s="5" t="inlineStr">
        <is>
          <t>Bina içi/dışı genel temizlik, dezenfeksiyon ve çevre düzenleme işleri.</t>
        </is>
      </c>
    </row>
    <row r="14" ht="19" customHeight="1">
      <c r="A14" s="4" t="inlineStr">
        <is>
          <t>612</t>
        </is>
      </c>
      <c r="B14" s="5" t="inlineStr">
        <is>
          <t>Servis Taşımacılığı Hizmeti</t>
        </is>
      </c>
      <c r="C14" s="4" t="inlineStr">
        <is>
          <t>5/10</t>
        </is>
      </c>
      <c r="D14" s="6" t="n">
        <v>0.5</v>
      </c>
      <c r="E14" s="5" t="inlineStr">
        <is>
          <t>Personel ve öğrenci servis taşımacılığı işleri.</t>
        </is>
      </c>
    </row>
    <row r="15" ht="19" customHeight="1">
      <c r="A15" s="4" t="inlineStr">
        <is>
          <t>613</t>
        </is>
      </c>
      <c r="B15" s="5" t="inlineStr">
        <is>
          <t>Her Türlü Yük Taşımacılığı Hizmeti</t>
        </is>
      </c>
      <c r="C15" s="4" t="inlineStr">
        <is>
          <t>2/10</t>
        </is>
      </c>
      <c r="D15" s="6" t="n">
        <v>0.2</v>
      </c>
      <c r="E15" s="5" t="inlineStr">
        <is>
          <t>Karayolu, denizyolu ve havayolu ile yük ve kargo taşıma hizmetleri.</t>
        </is>
      </c>
    </row>
    <row r="16" ht="19" customHeight="1">
      <c r="A16" s="4" t="inlineStr">
        <is>
          <t>614</t>
        </is>
      </c>
      <c r="B16" s="5" t="inlineStr">
        <is>
          <t>Her Türlü Baskı ve Basım Hizmetleri</t>
        </is>
      </c>
      <c r="C16" s="4" t="inlineStr">
        <is>
          <t>7/10</t>
        </is>
      </c>
      <c r="D16" s="6" t="n">
        <v>0.7</v>
      </c>
      <c r="E16" s="5" t="inlineStr">
        <is>
          <t>Matbaacılık, broşür, katalog, ambalaj baskı ve ciltleme işleri.</t>
        </is>
      </c>
    </row>
    <row r="17" ht="19" customHeight="1">
      <c r="A17" s="4" t="inlineStr">
        <is>
          <t>615</t>
        </is>
      </c>
      <c r="B17" s="5" t="inlineStr">
        <is>
          <t>Ticari Reklam Hizmetleri</t>
        </is>
      </c>
      <c r="C17" s="4" t="inlineStr">
        <is>
          <t>3/10</t>
        </is>
      </c>
      <c r="D17" s="6" t="n">
        <v>0.3</v>
      </c>
      <c r="E17" s="5" t="inlineStr">
        <is>
          <t>Dijital, televizyon, gazete veya billboard reklam yayınlama ve tasarım hizmetleri.</t>
        </is>
      </c>
    </row>
    <row r="18" ht="19" customHeight="1">
      <c r="A18" s="4" t="inlineStr">
        <is>
          <t>616</t>
        </is>
      </c>
      <c r="B18" s="5" t="inlineStr">
        <is>
          <t>Diğer Hizmetler (Kapsam İçi Kurumlarca Alınan)</t>
        </is>
      </c>
      <c r="C18" s="4" t="inlineStr">
        <is>
          <t>5/10</t>
        </is>
      </c>
      <c r="D18" s="6" t="n">
        <v>0.5</v>
      </c>
      <c r="E18" s="5" t="inlineStr">
        <is>
          <t>Belirlenmiş alıcı kurum ve kuruluşlara ifa edilen diğer genel hizmetler.</t>
        </is>
      </c>
    </row>
    <row r="19" ht="19" customHeight="1">
      <c r="A19" s="4" t="inlineStr">
        <is>
          <t>617</t>
        </is>
      </c>
      <c r="B19" s="5" t="inlineStr">
        <is>
          <t>Hurda ve Atık Teslimleri (Metal, Plastik, Kağıt, Cam)</t>
        </is>
      </c>
      <c r="C19" s="4" t="inlineStr">
        <is>
          <t>7/10</t>
        </is>
      </c>
      <c r="D19" s="6" t="n">
        <v>0.7</v>
      </c>
      <c r="E19" s="5" t="inlineStr">
        <is>
          <t>KDV Kanunu 17/4-g istisnasından vazgeçenlerin hurda teslimleri.</t>
        </is>
      </c>
    </row>
    <row r="20" ht="19" customHeight="1">
      <c r="A20" s="4" t="inlineStr">
        <is>
          <t>620</t>
        </is>
      </c>
      <c r="B20" s="5" t="inlineStr">
        <is>
          <t>Pamuk, Tiftik, Yün ve Yapağı ile Ham Post ve Deri Teslimleri</t>
        </is>
      </c>
      <c r="C20" s="4" t="inlineStr">
        <is>
          <t>2/10</t>
        </is>
      </c>
      <c r="D20" s="6" t="n">
        <v>0.2</v>
      </c>
      <c r="E20" s="5" t="inlineStr">
        <is>
          <t>Tekstil ve deri sanayii ham madde teslimleri.</t>
        </is>
      </c>
    </row>
    <row r="21" ht="19" customHeight="1">
      <c r="A21" s="4" t="inlineStr">
        <is>
          <t>621</t>
        </is>
      </c>
      <c r="B21" s="5" t="inlineStr">
        <is>
          <t>Ağaç ve Orman Ürünleri Teslimi (Tomruk, Kereste, Talaş)</t>
        </is>
      </c>
      <c r="C21" s="4" t="inlineStr">
        <is>
          <t>5/10</t>
        </is>
      </c>
      <c r="D21" s="6" t="n">
        <v>0.5</v>
      </c>
      <c r="E21" s="5" t="inlineStr">
        <is>
          <t>Orman ürünleri, tomruk, odun ve kereste teslimleri.</t>
        </is>
      </c>
    </row>
    <row r="22" ht="19" customHeight="1">
      <c r="A22" s="4" t="inlineStr">
        <is>
          <t>622</t>
        </is>
      </c>
      <c r="B22" s="5" t="inlineStr">
        <is>
          <t>Demir-Çelik Ürünlerinin Teslimi</t>
        </is>
      </c>
      <c r="C22" s="4" t="inlineStr">
        <is>
          <t>4/10</t>
        </is>
      </c>
      <c r="D22" s="6" t="n">
        <v>0.4</v>
      </c>
      <c r="E22" s="5" t="inlineStr">
        <is>
          <t>İnşaat demiri, çubuk, profil ve çelik levha teslimleri.</t>
        </is>
      </c>
    </row>
    <row r="23" ht="19" customHeight="1">
      <c r="A23" s="4" t="inlineStr">
        <is>
          <t>623</t>
        </is>
      </c>
      <c r="B23" s="5" t="inlineStr">
        <is>
          <t>Bakır, Çinko, Alüminyum ve Kurşun Ürünlerinin Teslimi</t>
        </is>
      </c>
      <c r="C23" s="4" t="inlineStr">
        <is>
          <t>7/10</t>
        </is>
      </c>
      <c r="D23" s="6" t="n">
        <v>0.7</v>
      </c>
      <c r="E23" s="5" t="inlineStr">
        <is>
          <t>İlk üreticilerden veya tüccarlardan alınan demir dışı metal mamulleri.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2026-10-23T04:04:02Z</dcterms:created>
  <dcterms:modified xmlns:dcterms="http://purl.org/dc/terms/" xmlns:xsi="http://www.w3.org/2001/XMLSchema-instance" xsi:type="dcterms:W3CDTF">2026-10-23T04:04:02Z</dcterms:modified>
</cp:coreProperties>
</file>