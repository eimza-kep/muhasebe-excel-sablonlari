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çici Vergi ve Gelir Tablos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TL&quot;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b val="1"/>
      <color rgb="000F172A"/>
      <sz val="1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164" fontId="3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4" fillId="3" borderId="1" pivotButton="0" quotePrefix="0" xfId="0"/>
    <xf numFmtId="164" fontId="4" fillId="3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57" customWidth="1" min="1" max="1"/>
    <col width="23" customWidth="1" min="2" max="2"/>
    <col width="23" customWidth="1" min="3" max="3"/>
    <col width="23" customWidth="1" min="4" max="4"/>
    <col width="23" customWidth="1" min="5" max="5"/>
    <col width="27" customWidth="1" min="6" max="6"/>
  </cols>
  <sheetData>
    <row r="1" ht="35" customHeight="1">
      <c r="A1" s="1" t="inlineStr">
        <is>
          <t>GEÇİCİ VERGİ VE DÖNEMSEL GELİR TABLOSU KONTROLÜ</t>
        </is>
      </c>
    </row>
    <row r="2"/>
    <row r="3" ht="28" customHeight="1">
      <c r="A3" s="2" t="inlineStr">
        <is>
          <t>Hesap Kodu &amp; Gelir Tablosu Kalemi</t>
        </is>
      </c>
      <c r="B3" s="2" t="inlineStr">
        <is>
          <t>1. Çeyrek (Oca-Mar)</t>
        </is>
      </c>
      <c r="C3" s="2" t="inlineStr">
        <is>
          <t>2. Çeyrek (Oca-Haz)</t>
        </is>
      </c>
      <c r="D3" s="2" t="inlineStr">
        <is>
          <t>3. Çeyrek (Oca-Eyl)</t>
        </is>
      </c>
      <c r="E3" s="2" t="inlineStr">
        <is>
          <t>4. Çeyrek (Oca-Ara)</t>
        </is>
      </c>
      <c r="F3" s="2" t="inlineStr">
        <is>
          <t>Açıklama</t>
        </is>
      </c>
    </row>
    <row r="4">
      <c r="A4" s="3" t="inlineStr">
        <is>
          <t>600 Brüt Satışlar (Yurtiçi &amp; Yurtdışı)</t>
        </is>
      </c>
      <c r="B4" s="4" t="n">
        <v>1250000</v>
      </c>
      <c r="C4" s="4" t="n">
        <v>2650000</v>
      </c>
      <c r="D4" s="4" t="n">
        <v>4100000</v>
      </c>
      <c r="E4" s="4" t="n">
        <v>5800000</v>
      </c>
      <c r="F4" s="3" t="inlineStr">
        <is>
          <t>Kümülatif hasılat</t>
        </is>
      </c>
    </row>
    <row r="5">
      <c r="A5" s="3" t="inlineStr">
        <is>
          <t>610 Satış İndirimleri ve İadeleri (-)</t>
        </is>
      </c>
      <c r="B5" s="4" t="n">
        <v>25000</v>
      </c>
      <c r="C5" s="4" t="n">
        <v>45000</v>
      </c>
      <c r="D5" s="4" t="n">
        <v>70000</v>
      </c>
      <c r="E5" s="4" t="n">
        <v>95000</v>
      </c>
      <c r="F5" s="3" t="inlineStr">
        <is>
          <t>İade ve iskontolar</t>
        </is>
      </c>
    </row>
    <row r="6">
      <c r="A6" s="3" t="inlineStr">
        <is>
          <t>NET SATIŞLAR</t>
        </is>
      </c>
      <c r="B6" s="4">
        <f>B4-B5</f>
        <v/>
      </c>
      <c r="C6" s="4">
        <f>C4-C5</f>
        <v/>
      </c>
      <c r="D6" s="4">
        <f>D4-D5</f>
        <v/>
      </c>
      <c r="E6" s="4">
        <f>E4-E5</f>
        <v/>
      </c>
      <c r="F6" s="3" t="inlineStr">
        <is>
          <t>Brüt Satış - İadeler</t>
        </is>
      </c>
    </row>
    <row r="7">
      <c r="A7" s="3" t="inlineStr">
        <is>
          <t>620 Satışların Maliyeti (-)</t>
        </is>
      </c>
      <c r="B7" s="4" t="n">
        <v>750000</v>
      </c>
      <c r="C7" s="4" t="n">
        <v>1600000</v>
      </c>
      <c r="D7" s="4" t="n">
        <v>2450000</v>
      </c>
      <c r="E7" s="4" t="n">
        <v>3450000</v>
      </c>
      <c r="F7" s="3" t="inlineStr">
        <is>
          <t>Satılan mal maliyeti</t>
        </is>
      </c>
    </row>
    <row r="8">
      <c r="A8" s="5" t="inlineStr">
        <is>
          <t>BRÜT SATIŞ KÂRI / ZARARI</t>
        </is>
      </c>
      <c r="B8" s="4">
        <f>B6-B7</f>
        <v/>
      </c>
      <c r="C8" s="4">
        <f>C6-C7</f>
        <v/>
      </c>
      <c r="D8" s="4">
        <f>D6-D7</f>
        <v/>
      </c>
      <c r="E8" s="4">
        <f>E6-E7</f>
        <v/>
      </c>
      <c r="F8" s="3" t="inlineStr">
        <is>
          <t>Net Satış - SMM</t>
        </is>
      </c>
    </row>
    <row r="9">
      <c r="A9" s="3" t="inlineStr">
        <is>
          <t>630 Faaliyet Giderleri (Genel Yönetim, Pazarlama) (-)</t>
        </is>
      </c>
      <c r="B9" s="4" t="n">
        <v>220000</v>
      </c>
      <c r="C9" s="4" t="n">
        <v>460000</v>
      </c>
      <c r="D9" s="4" t="n">
        <v>710000</v>
      </c>
      <c r="E9" s="4" t="n">
        <v>980000</v>
      </c>
      <c r="F9" s="3" t="inlineStr">
        <is>
          <t>Kira, maaş, ofis</t>
        </is>
      </c>
    </row>
    <row r="10">
      <c r="A10" s="5" t="inlineStr">
        <is>
          <t>FAALİYET KÂRI / ZARARI</t>
        </is>
      </c>
      <c r="B10" s="4">
        <f>B8-B9</f>
        <v/>
      </c>
      <c r="C10" s="4">
        <f>C8-C9</f>
        <v/>
      </c>
      <c r="D10" s="4">
        <f>D8-D9</f>
        <v/>
      </c>
      <c r="E10" s="4">
        <f>E8-E9</f>
        <v/>
      </c>
      <c r="F10" s="3" t="inlineStr">
        <is>
          <t>Esas faaliyet kârı</t>
        </is>
      </c>
    </row>
    <row r="11">
      <c r="A11" s="3" t="inlineStr">
        <is>
          <t>640 Diğer Faaliyet Gelirleri / Faiz (+)</t>
        </is>
      </c>
      <c r="B11" s="4" t="n">
        <v>35000</v>
      </c>
      <c r="C11" s="4" t="n">
        <v>70000</v>
      </c>
      <c r="D11" s="4" t="n">
        <v>110000</v>
      </c>
      <c r="E11" s="4" t="n">
        <v>150000</v>
      </c>
      <c r="F11" s="3" t="inlineStr">
        <is>
          <t>Mevduat vb.</t>
        </is>
      </c>
    </row>
    <row r="12">
      <c r="A12" s="3" t="inlineStr">
        <is>
          <t>650 Diğer Faaliyet Giderleri / Finansman (-)</t>
        </is>
      </c>
      <c r="B12" s="4" t="n">
        <v>45000</v>
      </c>
      <c r="C12" s="4" t="n">
        <v>90000</v>
      </c>
      <c r="D12" s="4" t="n">
        <v>135000</v>
      </c>
      <c r="E12" s="4" t="n">
        <v>185000</v>
      </c>
      <c r="F12" s="3" t="inlineStr">
        <is>
          <t>Kredi faizleri</t>
        </is>
      </c>
    </row>
    <row r="13">
      <c r="A13" s="5" t="inlineStr">
        <is>
          <t>TİCARİ BİLANÇO KÂRI / ZARARI</t>
        </is>
      </c>
      <c r="B13" s="4">
        <f>B10+B11-B12</f>
        <v/>
      </c>
      <c r="C13" s="4">
        <f>C10+C11-C12</f>
        <v/>
      </c>
      <c r="D13" s="4">
        <f>D10+D11-D12</f>
        <v/>
      </c>
      <c r="E13" s="4">
        <f>E10+E11-E12</f>
        <v/>
      </c>
      <c r="F13" s="3" t="inlineStr">
        <is>
          <t>Dönem net sonucu</t>
        </is>
      </c>
    </row>
    <row r="14">
      <c r="A14" s="3" t="inlineStr">
        <is>
          <t>Kanunen Kabul Edilmeyen Giderler (KKEG) (+)</t>
        </is>
      </c>
      <c r="B14" s="4" t="n">
        <v>15000</v>
      </c>
      <c r="C14" s="4" t="n">
        <v>32000</v>
      </c>
      <c r="D14" s="4" t="n">
        <v>52000</v>
      </c>
      <c r="E14" s="4" t="n">
        <v>75000</v>
      </c>
      <c r="F14" s="3" t="inlineStr">
        <is>
          <t>Vergiden düşülemeyen</t>
        </is>
      </c>
    </row>
    <row r="15">
      <c r="A15" s="5" t="inlineStr">
        <is>
          <t>GEÇİCİ VERGİ MATRAHI</t>
        </is>
      </c>
      <c r="B15" s="6">
        <f>B13+B14</f>
        <v/>
      </c>
      <c r="C15" s="6">
        <f>C13+C14</f>
        <v/>
      </c>
      <c r="D15" s="6">
        <f>D13+D14</f>
        <v/>
      </c>
      <c r="E15" s="6">
        <f>E13+E14</f>
        <v/>
      </c>
      <c r="F15" s="3" t="inlineStr">
        <is>
          <t>Vergiye tabi matrah</t>
        </is>
      </c>
    </row>
    <row r="16">
      <c r="A16" s="3" t="inlineStr">
        <is>
          <t>Hesaplanan Geçici Vergi (%25 Kurumlar)</t>
        </is>
      </c>
      <c r="B16" s="4">
        <f>B15*0.25</f>
        <v/>
      </c>
      <c r="C16" s="4">
        <f>C15*0.25</f>
        <v/>
      </c>
      <c r="D16" s="4">
        <f>D15*0.25</f>
        <v/>
      </c>
      <c r="E16" s="4">
        <f>E15*0.25</f>
        <v/>
      </c>
      <c r="F16" s="3" t="inlineStr">
        <is>
          <t>Vergi oranı %25</t>
        </is>
      </c>
    </row>
    <row r="17">
      <c r="A17" s="3" t="inlineStr">
        <is>
          <t>Önceki Dönemlerde Hesaplanan Geçici Vergi (-)</t>
        </is>
      </c>
      <c r="B17" s="4" t="n">
        <v>0</v>
      </c>
      <c r="C17" s="4">
        <f>B16</f>
        <v/>
      </c>
      <c r="D17" s="4">
        <f>C16</f>
        <v/>
      </c>
      <c r="E17" s="4">
        <f>D16</f>
        <v/>
      </c>
      <c r="F17" s="3" t="inlineStr">
        <is>
          <t>Mahsup edilecek</t>
        </is>
      </c>
    </row>
    <row r="18">
      <c r="A18" s="7" t="inlineStr">
        <is>
          <t>ÖDENECEK GEÇİCİ VERGİ</t>
        </is>
      </c>
      <c r="B18" s="8">
        <f>B16-B17</f>
        <v/>
      </c>
      <c r="C18" s="8">
        <f>C16-C17</f>
        <v/>
      </c>
      <c r="D18" s="8">
        <f>D16-D17</f>
        <v/>
      </c>
      <c r="E18" s="8">
        <f>E16-E17</f>
        <v/>
      </c>
      <c r="F18" s="9" t="inlineStr">
        <is>
          <t>Bu dönem ödenecek vergi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2026-09-20T08:38:13Z</dcterms:created>
  <dcterms:modified xsi:type="dcterms:W3CDTF">2026-09-20T08:38:13Z</dcterms:modified>
</cp:coreProperties>
</file>