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ortisman Tablo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TL&quot;"/>
    <numFmt numFmtId="165" formatCode="0.0%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0F172A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pivotButton="0" quotePrefix="0" xfId="0"/>
    <xf numFmtId="165" fontId="3" fillId="0" borderId="1" applyAlignment="1" pivotButton="0" quotePrefix="0" xfId="0">
      <alignment horizontal="center"/>
    </xf>
    <xf numFmtId="0" fontId="4" fillId="3" borderId="2" pivotButton="0" quotePrefix="0" xfId="0"/>
    <xf numFmtId="164" fontId="4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54" customWidth="1" min="1" max="1"/>
    <col width="44" customWidth="1" min="2" max="2"/>
    <col width="15" customWidth="1" min="3" max="3"/>
    <col width="20" customWidth="1" min="4" max="4"/>
    <col width="22" customWidth="1" min="5" max="5"/>
    <col width="22" customWidth="1" min="6" max="6"/>
    <col width="27" customWidth="1" min="7" max="7"/>
    <col width="33" customWidth="1" min="8" max="8"/>
  </cols>
  <sheetData>
    <row r="1" ht="35" customHeight="1">
      <c r="A1" s="1" t="inlineStr">
        <is>
          <t>SABİT KIYMET AMORTİSMAN HESAPLAMA VE TAKİP TABLOSU</t>
        </is>
      </c>
    </row>
    <row r="2"/>
    <row r="3" ht="28" customHeight="1">
      <c r="A3" s="2" t="inlineStr">
        <is>
          <t>Demirbaş No</t>
        </is>
      </c>
      <c r="B3" s="2" t="inlineStr">
        <is>
          <t>Sabit Kıymet Açıklaması</t>
        </is>
      </c>
      <c r="C3" s="2" t="inlineStr">
        <is>
          <t>Alış Tarihi</t>
        </is>
      </c>
      <c r="D3" s="2" t="inlineStr">
        <is>
          <t>Alış Bedeli (TL)</t>
        </is>
      </c>
      <c r="E3" s="2" t="inlineStr">
        <is>
          <t>Faydalı Ömür (Yıl)</t>
        </is>
      </c>
      <c r="F3" s="2" t="inlineStr">
        <is>
          <t>Amortisman Yöntemi</t>
        </is>
      </c>
      <c r="G3" s="2" t="inlineStr">
        <is>
          <t>Yıllık Amortisman Oranı</t>
        </is>
      </c>
      <c r="H3" s="2" t="inlineStr">
        <is>
          <t>Yıllık Amortisman Tutarı (TL)</t>
        </is>
      </c>
    </row>
    <row r="4">
      <c r="A4" s="3" t="inlineStr">
        <is>
          <t>DM-001</t>
        </is>
      </c>
      <c r="B4" s="4" t="inlineStr">
        <is>
          <t>Veri Sunucusu Dell PowerEdge</t>
        </is>
      </c>
      <c r="C4" s="3" t="inlineStr">
        <is>
          <t>2026-01-15</t>
        </is>
      </c>
      <c r="D4" s="5" t="n">
        <v>120000</v>
      </c>
      <c r="E4" s="3" t="n">
        <v>5</v>
      </c>
      <c r="F4" s="3" t="inlineStr">
        <is>
          <t>Normal</t>
        </is>
      </c>
      <c r="G4" s="6">
        <f>1/E4</f>
        <v/>
      </c>
      <c r="H4" s="5">
        <f>D4*G4</f>
        <v/>
      </c>
    </row>
    <row r="5">
      <c r="A5" s="3" t="inlineStr">
        <is>
          <t>DM-002</t>
        </is>
      </c>
      <c r="B5" s="4" t="inlineStr">
        <is>
          <t>Ford Transit Ticari Araç</t>
        </is>
      </c>
      <c r="C5" s="3" t="inlineStr">
        <is>
          <t>2026-02-10</t>
        </is>
      </c>
      <c r="D5" s="5" t="n">
        <v>950000</v>
      </c>
      <c r="E5" s="3" t="n">
        <v>5</v>
      </c>
      <c r="F5" s="3" t="inlineStr">
        <is>
          <t>Normal</t>
        </is>
      </c>
      <c r="G5" s="6">
        <f>1/E5</f>
        <v/>
      </c>
      <c r="H5" s="5">
        <f>D5*G5</f>
        <v/>
      </c>
    </row>
    <row r="6">
      <c r="A6" s="3" t="inlineStr">
        <is>
          <t>DM-003</t>
        </is>
      </c>
      <c r="B6" s="4" t="inlineStr">
        <is>
          <t>Yönetici Masası &amp; Ofis Mobilyası</t>
        </is>
      </c>
      <c r="C6" s="3" t="inlineStr">
        <is>
          <t>2026-03-01</t>
        </is>
      </c>
      <c r="D6" s="5" t="n">
        <v>60000</v>
      </c>
      <c r="E6" s="3" t="n">
        <v>5</v>
      </c>
      <c r="F6" s="3" t="inlineStr">
        <is>
          <t>Normal</t>
        </is>
      </c>
      <c r="G6" s="6">
        <f>1/E6</f>
        <v/>
      </c>
      <c r="H6" s="5">
        <f>D6*G6</f>
        <v/>
      </c>
    </row>
    <row r="7">
      <c r="A7" s="3" t="inlineStr">
        <is>
          <t>DM-004</t>
        </is>
      </c>
      <c r="B7" s="4" t="inlineStr">
        <is>
          <t>CNC Lazer Kesim Makinesi</t>
        </is>
      </c>
      <c r="C7" s="3" t="inlineStr">
        <is>
          <t>2026-03-15</t>
        </is>
      </c>
      <c r="D7" s="5" t="n">
        <v>1450000</v>
      </c>
      <c r="E7" s="3" t="n">
        <v>10</v>
      </c>
      <c r="F7" s="3" t="inlineStr">
        <is>
          <t>Normal</t>
        </is>
      </c>
      <c r="G7" s="6">
        <f>1/E7</f>
        <v/>
      </c>
      <c r="H7" s="5">
        <f>D7*G7</f>
        <v/>
      </c>
    </row>
    <row r="8">
      <c r="A8" s="3" t="inlineStr">
        <is>
          <t>DM-005</t>
        </is>
      </c>
      <c r="B8" s="4" t="inlineStr">
        <is>
          <t>MacBook Pro M3 Max Yazılımcı Bilgisayarı</t>
        </is>
      </c>
      <c r="C8" s="3" t="inlineStr">
        <is>
          <t>2026-04-01</t>
        </is>
      </c>
      <c r="D8" s="5" t="n">
        <v>115000</v>
      </c>
      <c r="E8" s="3" t="n">
        <v>4</v>
      </c>
      <c r="F8" s="3" t="inlineStr">
        <is>
          <t>Normal</t>
        </is>
      </c>
      <c r="G8" s="6">
        <f>1/E8</f>
        <v/>
      </c>
      <c r="H8" s="5">
        <f>D8*G8</f>
        <v/>
      </c>
    </row>
    <row r="9">
      <c r="A9" s="7" t="n"/>
      <c r="B9" s="7" t="inlineStr">
        <is>
          <t>TOPLAM SABİT KIYMET VE AMORTİSMAN</t>
        </is>
      </c>
      <c r="C9" s="7" t="n"/>
      <c r="D9" s="8">
        <f>SUM(D4:D8)</f>
        <v/>
      </c>
      <c r="E9" s="7" t="n"/>
      <c r="F9" s="7" t="n"/>
      <c r="G9" s="7" t="n"/>
      <c r="H9" s="8">
        <f>SUM(H4:H8)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2026-09-20T08:38:13Z</dcterms:created>
  <dcterms:modified xsi:type="dcterms:W3CDTF">2026-09-20T08:38:13Z</dcterms:modified>
</cp:coreProperties>
</file>