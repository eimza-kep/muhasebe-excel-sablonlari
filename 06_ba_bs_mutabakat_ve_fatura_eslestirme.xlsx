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a (Alış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0" fontId="4" fillId="3" borderId="2" pivotButton="0" quotePrefix="0" xfId="0"/>
    <xf numFmtId="1" fontId="4" fillId="3" borderId="2" pivotButton="0" quotePrefix="0" xfId="0"/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9" customWidth="1" min="1" max="1"/>
    <col width="35" customWidth="1" min="2" max="2"/>
    <col width="36" customWidth="1" min="3" max="3"/>
    <col width="15" customWidth="1" min="4" max="4"/>
    <col width="31" customWidth="1" min="5" max="5"/>
    <col width="23" customWidth="1" min="6" max="6"/>
    <col width="22" customWidth="1" min="7" max="7"/>
    <col width="44" customWidth="1" min="8" max="8"/>
  </cols>
  <sheetData>
    <row r="1" ht="35" customHeight="1">
      <c r="A1" s="1" t="inlineStr">
        <is>
          <t>FORM Ba - ALIŞ FATURALARI VE 5.000 TL MUTABAKAT LİSTESİ</t>
        </is>
      </c>
    </row>
    <row r="2"/>
    <row r="3" ht="28" customHeight="1">
      <c r="A3" s="2" t="inlineStr">
        <is>
          <t>Sıra</t>
        </is>
      </c>
      <c r="B3" s="2" t="inlineStr">
        <is>
          <t>Tedarikçi Vergi Kimlik No (VKN)</t>
        </is>
      </c>
      <c r="C3" s="2" t="inlineStr">
        <is>
          <t>Tedarikçi Firma Ünvanı</t>
        </is>
      </c>
      <c r="D3" s="2" t="inlineStr">
        <is>
          <t>Belge Adedi</t>
        </is>
      </c>
      <c r="E3" s="2" t="inlineStr">
        <is>
          <t>KDV Hariç Toplam Tutar (TL)</t>
        </is>
      </c>
      <c r="F3" s="2" t="inlineStr">
        <is>
          <t>5.000 TL Had Durumu</t>
        </is>
      </c>
      <c r="G3" s="2" t="inlineStr">
        <is>
          <t>Mutabakat Durumu</t>
        </is>
      </c>
      <c r="H3" s="2" t="inlineStr">
        <is>
          <t>Açıklama / Not</t>
        </is>
      </c>
    </row>
    <row r="4">
      <c r="A4" s="3" t="n">
        <v>1</v>
      </c>
      <c r="B4" s="3" t="inlineStr">
        <is>
          <t>1234567890</t>
        </is>
      </c>
      <c r="C4" s="4" t="inlineStr">
        <is>
          <t>Delta Bilişim Sistemleri A.Ş.</t>
        </is>
      </c>
      <c r="D4" s="3" t="n">
        <v>6</v>
      </c>
      <c r="E4" s="5" t="n">
        <v>85400</v>
      </c>
      <c r="F4" s="3">
        <f>IF(E4&gt;=5000, "BİLDİRİLECEK (&gt;=5000 TL)", "Limit Altı")</f>
        <v/>
      </c>
      <c r="G4" s="3" t="inlineStr">
        <is>
          <t>Mutabakat Sağlandı</t>
        </is>
      </c>
      <c r="H4" s="4" t="inlineStr">
        <is>
          <t>Delta ile telefonla teyit edildi</t>
        </is>
      </c>
    </row>
    <row r="5">
      <c r="A5" s="3" t="n">
        <v>2</v>
      </c>
      <c r="B5" s="3" t="inlineStr">
        <is>
          <t>9876543210</t>
        </is>
      </c>
      <c r="C5" s="4" t="inlineStr">
        <is>
          <t>Anadolu Kağıtçılık Sanayi</t>
        </is>
      </c>
      <c r="D5" s="3" t="n">
        <v>2</v>
      </c>
      <c r="E5" s="5" t="n">
        <v>4200</v>
      </c>
      <c r="F5" s="3">
        <f>IF(E5&gt;=5000, "BİLDİRİLECEK (&gt;=5000 TL)", "Limit Altı")</f>
        <v/>
      </c>
      <c r="G5" s="3" t="inlineStr">
        <is>
          <t>Gerekli Değil</t>
        </is>
      </c>
      <c r="H5" s="4" t="inlineStr">
        <is>
          <t>5.000 TL altında kalıyor</t>
        </is>
      </c>
    </row>
    <row r="6">
      <c r="A6" s="3" t="n">
        <v>3</v>
      </c>
      <c r="B6" s="3" t="inlineStr">
        <is>
          <t>5554443322</t>
        </is>
      </c>
      <c r="C6" s="4" t="inlineStr">
        <is>
          <t>Kuzey Akaryakıt Dağıtım</t>
        </is>
      </c>
      <c r="D6" s="3" t="n">
        <v>14</v>
      </c>
      <c r="E6" s="5" t="n">
        <v>112000</v>
      </c>
      <c r="F6" s="3">
        <f>IF(E6&gt;=5000, "BİLDİRİLECEK (&gt;=5000 TL)", "Limit Altı")</f>
        <v/>
      </c>
      <c r="G6" s="3" t="inlineStr">
        <is>
          <t>Mutabakat Sağlandı</t>
        </is>
      </c>
      <c r="H6" s="4" t="inlineStr">
        <is>
          <t>İmza sirküleri ve mutabakat formu alındı</t>
        </is>
      </c>
    </row>
    <row r="7">
      <c r="A7" s="3" t="n">
        <v>4</v>
      </c>
      <c r="B7" s="3" t="inlineStr">
        <is>
          <t>1112223334</t>
        </is>
      </c>
      <c r="C7" s="4" t="inlineStr">
        <is>
          <t>Özkan Ofis Malzemeleri</t>
        </is>
      </c>
      <c r="D7" s="3" t="n">
        <v>1</v>
      </c>
      <c r="E7" s="5" t="n">
        <v>3500</v>
      </c>
      <c r="F7" s="3">
        <f>IF(E7&gt;=5000, "BİLDİRİLECEK (&gt;=5000 TL)", "Limit Altı")</f>
        <v/>
      </c>
      <c r="G7" s="3" t="inlineStr">
        <is>
          <t>Gerekli Değil</t>
        </is>
      </c>
      <c r="H7" s="4" t="inlineStr">
        <is>
          <t>Limit altı</t>
        </is>
      </c>
    </row>
    <row r="8">
      <c r="A8" s="3" t="n">
        <v>5</v>
      </c>
      <c r="B8" s="3" t="inlineStr">
        <is>
          <t>7778889991</t>
        </is>
      </c>
      <c r="C8" s="4" t="inlineStr">
        <is>
          <t>Atlas Sunucu ve Bulut Hizmetleri</t>
        </is>
      </c>
      <c r="D8" s="3" t="n">
        <v>3</v>
      </c>
      <c r="E8" s="5" t="n">
        <v>27500</v>
      </c>
      <c r="F8" s="3">
        <f>IF(E8&gt;=5000, "BİLDİRİLECEK (&gt;=5000 TL)", "Limit Altı")</f>
        <v/>
      </c>
      <c r="G8" s="3" t="inlineStr">
        <is>
          <t>Mutabakat Sağlandı</t>
        </is>
      </c>
      <c r="H8" s="4" t="inlineStr">
        <is>
          <t>KEP üzerinden mutabakat yollandı</t>
        </is>
      </c>
    </row>
    <row r="9">
      <c r="A9" s="6" t="n"/>
      <c r="B9" s="6" t="n"/>
      <c r="C9" s="6" t="inlineStr">
        <is>
          <t>GENEL TOPLAM</t>
        </is>
      </c>
      <c r="D9" s="7">
        <f>SUM(D4:D8)</f>
        <v/>
      </c>
      <c r="E9" s="8">
        <f>SUM(E4:E8)</f>
        <v/>
      </c>
      <c r="F9" s="6" t="n"/>
      <c r="G9" s="6" t="n"/>
      <c r="H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