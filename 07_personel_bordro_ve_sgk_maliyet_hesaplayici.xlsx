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rdro ve SGK Maliyet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TL&quot;"/>
  </numFmts>
  <fonts count="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1"/>
    </font>
    <font>
      <name val="Segoe UI"/>
      <color rgb="000F172A"/>
      <sz val="10"/>
    </font>
    <font>
      <name val="Segoe UI"/>
      <b val="1"/>
      <color rgb="000F172A"/>
      <sz val="11"/>
    </font>
  </fonts>
  <fills count="5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ECFDF5"/>
        <bgColor rgb="00ECFDF5"/>
      </patternFill>
    </fill>
    <fill>
      <patternFill patternType="solid">
        <fgColor rgb="00FFF1F2"/>
        <bgColor rgb="00FFF1F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0" fontId="0" fillId="0" borderId="1" applyAlignment="1" pivotButton="0" quotePrefix="0" xfId="0">
      <alignment horizontal="center"/>
    </xf>
    <xf numFmtId="0" fontId="4" fillId="3" borderId="1" pivotButton="0" quotePrefix="0" xfId="0"/>
    <xf numFmtId="164" fontId="4" fillId="3" borderId="1" pivotButton="0" quotePrefix="0" xfId="0"/>
    <xf numFmtId="0" fontId="0" fillId="3" borderId="1" applyAlignment="1" pivotButton="0" quotePrefix="0" xfId="0">
      <alignment horizontal="center"/>
    </xf>
    <xf numFmtId="0" fontId="3" fillId="3" borderId="1" pivotButton="0" quotePrefix="0" xfId="0"/>
    <xf numFmtId="0" fontId="4" fillId="4" borderId="1" pivotButton="0" quotePrefix="0" xfId="0"/>
    <xf numFmtId="164" fontId="4" fillId="4" borderId="1" pivotButton="0" quotePrefix="0" xfId="0"/>
    <xf numFmtId="0" fontId="0" fillId="4" borderId="1" applyAlignment="1" pivotButton="0" quotePrefix="0" xfId="0">
      <alignment horizontal="center"/>
    </xf>
    <xf numFmtId="0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51" customWidth="1" min="1" max="1"/>
    <col width="14" customWidth="1" min="2" max="2"/>
    <col width="47" customWidth="1" min="3" max="3"/>
    <col width="33" customWidth="1" min="4" max="4"/>
  </cols>
  <sheetData>
    <row r="1" ht="35" customHeight="1">
      <c r="A1" s="1" t="inlineStr">
        <is>
          <t>PERSONEL BORDRO VE İŞVEREN MALİYETİ HESAPLAYICI</t>
        </is>
      </c>
    </row>
    <row r="2"/>
    <row r="3" ht="28" customHeight="1">
      <c r="A3" s="2" t="inlineStr">
        <is>
          <t>Bordro Kalemi</t>
        </is>
      </c>
      <c r="B3" s="2" t="inlineStr">
        <is>
          <t>Tutar (TL)</t>
        </is>
      </c>
      <c r="C3" s="2" t="inlineStr">
        <is>
          <t>Oran / Açıklama</t>
        </is>
      </c>
      <c r="D3" s="2" t="inlineStr">
        <is>
          <t>Yasal Kural</t>
        </is>
      </c>
    </row>
    <row r="4">
      <c r="A4" s="3" t="inlineStr">
        <is>
          <t>Aylık Brüt Ücret</t>
        </is>
      </c>
      <c r="B4" s="4" t="n">
        <v>35000</v>
      </c>
      <c r="C4" s="5" t="inlineStr">
        <is>
          <t>Anlaşılan brüt ücret</t>
        </is>
      </c>
      <c r="D4" s="3" t="inlineStr">
        <is>
          <t>İş sözleşmesi</t>
        </is>
      </c>
    </row>
    <row r="5">
      <c r="A5" s="3" t="inlineStr">
        <is>
          <t>SGK İşçi Payı Kesintisi (%14)</t>
        </is>
      </c>
      <c r="B5" s="4">
        <f>B4*0.14</f>
        <v/>
      </c>
      <c r="C5" s="5" t="inlineStr">
        <is>
          <t>%14</t>
        </is>
      </c>
      <c r="D5" s="3" t="inlineStr">
        <is>
          <t>5510 Sayılı Kanun</t>
        </is>
      </c>
    </row>
    <row r="6">
      <c r="A6" s="3" t="inlineStr">
        <is>
          <t>İşsizlik Sigortası İşçi Payı (%1)</t>
        </is>
      </c>
      <c r="B6" s="4">
        <f>B4*0.01</f>
        <v/>
      </c>
      <c r="C6" s="5" t="inlineStr">
        <is>
          <t>%1</t>
        </is>
      </c>
      <c r="D6" s="3" t="inlineStr">
        <is>
          <t>4447 Sayılı Kanun</t>
        </is>
      </c>
    </row>
    <row r="7">
      <c r="A7" s="3" t="inlineStr">
        <is>
          <t>Gelir Vergisi Matrahı</t>
        </is>
      </c>
      <c r="B7" s="4">
        <f>B4-B5-B6</f>
        <v/>
      </c>
      <c r="C7" s="5" t="inlineStr">
        <is>
          <t>Brüt - SGK Kesintileri</t>
        </is>
      </c>
      <c r="D7" s="3" t="inlineStr">
        <is>
          <t>GVK Madde 63</t>
        </is>
      </c>
    </row>
    <row r="8">
      <c r="A8" s="3" t="inlineStr">
        <is>
          <t>Hesaplanan Gelir Vergisi (%15 Dilim)</t>
        </is>
      </c>
      <c r="B8" s="4">
        <f>B7*0.15</f>
        <v/>
      </c>
      <c r="C8" s="5" t="inlineStr">
        <is>
          <t>%15 ilk dilim</t>
        </is>
      </c>
      <c r="D8" s="3" t="inlineStr">
        <is>
          <t>GVK Madde 103</t>
        </is>
      </c>
    </row>
    <row r="9">
      <c r="A9" s="3" t="inlineStr">
        <is>
          <t>Asgari Ücret Gelir Vergisi İstisnası (-)</t>
        </is>
      </c>
      <c r="B9" s="4" t="n">
        <v>3400</v>
      </c>
      <c r="C9" s="5" t="inlineStr">
        <is>
          <t>Vergi dışı istisna</t>
        </is>
      </c>
      <c r="D9" s="3" t="inlineStr">
        <is>
          <t>7349 Sayılı Kanun</t>
        </is>
      </c>
    </row>
    <row r="10">
      <c r="A10" s="3" t="inlineStr">
        <is>
          <t>Ödenecek Gelir Vergisi</t>
        </is>
      </c>
      <c r="B10" s="4">
        <f>MAX(0, B8-B9)</f>
        <v/>
      </c>
      <c r="C10" s="5" t="inlineStr">
        <is>
          <t>Hesaplanan GV - İstisna</t>
        </is>
      </c>
      <c r="D10" s="3" t="inlineStr">
        <is>
          <t>Net vergi</t>
        </is>
      </c>
    </row>
    <row r="11">
      <c r="A11" s="3" t="inlineStr">
        <is>
          <t>Damga Vergisi (Binde 7.59)</t>
        </is>
      </c>
      <c r="B11" s="4">
        <f>B4*0.00759</f>
        <v/>
      </c>
      <c r="C11" s="5" t="inlineStr">
        <is>
          <t>Binde 7.59</t>
        </is>
      </c>
      <c r="D11" s="3" t="inlineStr">
        <is>
          <t>Damga Vergisi Kanunu</t>
        </is>
      </c>
    </row>
    <row r="12">
      <c r="A12" s="3" t="inlineStr">
        <is>
          <t>Asgari Ücret Damga Vergisi İstisnası (-)</t>
        </is>
      </c>
      <c r="B12" s="4" t="n">
        <v>175</v>
      </c>
      <c r="C12" s="5" t="inlineStr">
        <is>
          <t>İstisna tutarı</t>
        </is>
      </c>
      <c r="D12" s="3" t="inlineStr">
        <is>
          <t>7349 Sayılı Kanun</t>
        </is>
      </c>
    </row>
    <row r="13">
      <c r="A13" s="3" t="inlineStr">
        <is>
          <t>Ödenecek Damga Vergisi</t>
        </is>
      </c>
      <c r="B13" s="4">
        <f>MAX(0, B11-B12)</f>
        <v/>
      </c>
      <c r="C13" s="5" t="inlineStr">
        <is>
          <t>Net damga vergisi</t>
        </is>
      </c>
      <c r="D13" s="3" t="inlineStr">
        <is>
          <t>Maaş damga vergisi</t>
        </is>
      </c>
    </row>
    <row r="14">
      <c r="A14" s="6" t="inlineStr">
        <is>
          <t>PERSONELE ÖDENECEK NET MAAŞ</t>
        </is>
      </c>
      <c r="B14" s="7">
        <f>B4-B5-B6-B10-B13</f>
        <v/>
      </c>
      <c r="C14" s="8" t="inlineStr">
        <is>
          <t>Banka hesabına yatan</t>
        </is>
      </c>
      <c r="D14" s="9" t="inlineStr">
        <is>
          <t>Net eline geçen</t>
        </is>
      </c>
    </row>
    <row r="15">
      <c r="A15" s="3" t="inlineStr">
        <is>
          <t>SGK İşveren Payı (%15.5 - 5 Puan Teşvikli)</t>
        </is>
      </c>
      <c r="B15" s="4">
        <f>B4*0.155</f>
        <v/>
      </c>
      <c r="C15" s="5" t="inlineStr">
        <is>
          <t>%15.5 (5 puan Hazine indirimli)</t>
        </is>
      </c>
      <c r="D15" s="3" t="inlineStr">
        <is>
          <t>5510 Madde 81</t>
        </is>
      </c>
    </row>
    <row r="16">
      <c r="A16" s="3" t="inlineStr">
        <is>
          <t>İşsizlik Sigortası İşveren Payı (%2)</t>
        </is>
      </c>
      <c r="B16" s="4">
        <f>B4*0.02</f>
        <v/>
      </c>
      <c r="C16" s="5" t="inlineStr">
        <is>
          <t>%2</t>
        </is>
      </c>
      <c r="D16" s="3" t="inlineStr">
        <is>
          <t>4447 Madde 49</t>
        </is>
      </c>
    </row>
    <row r="17">
      <c r="A17" s="10" t="inlineStr">
        <is>
          <t>TOPLAM İŞVEREN MALİYETİ</t>
        </is>
      </c>
      <c r="B17" s="11">
        <f>B4+B15+B16</f>
        <v/>
      </c>
      <c r="C17" s="12" t="inlineStr">
        <is>
          <t>Brüt Ücret + SGK İşveren + İşsizlik İşveren</t>
        </is>
      </c>
      <c r="D17" s="13" t="inlineStr">
        <is>
          <t>İşverenin toplam aylık gideri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2026-09-20T08:38:13Z</dcterms:created>
  <dcterms:modified xsi:type="dcterms:W3CDTF">2026-09-20T08:38:13Z</dcterms:modified>
</cp:coreProperties>
</file>