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ro ve SGK Maliyeti" sheetId="1" state="visible" r:id="rId1"/>
    <sheet xmlns:r="http://schemas.openxmlformats.org/officeDocument/2006/relationships" name="Vergi Dilimleri &amp; Parametre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0F172A"/>
      <sz val="9.5"/>
    </font>
  </fonts>
  <fills count="7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047857"/>
        <bgColor rgb="00047857"/>
      </patternFill>
    </fill>
    <fill>
      <patternFill patternType="solid">
        <fgColor rgb="00334155"/>
        <bgColor rgb="00334155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pivotButton="0" quotePrefix="0" xfId="0"/>
    <xf numFmtId="0" fontId="5" fillId="5" borderId="2" pivotButton="0" quotePrefix="0" xfId="0"/>
    <xf numFmtId="4" fontId="5" fillId="5" borderId="2" pivotButton="0" quotePrefix="0" xfId="0"/>
    <xf numFmtId="0" fontId="4" fillId="5" borderId="2" pivotButton="0" quotePrefix="0" xfId="0"/>
    <xf numFmtId="0" fontId="5" fillId="6" borderId="2" pivotButton="0" quotePrefix="0" xfId="0"/>
    <xf numFmtId="4" fontId="5" fillId="6" borderId="2" pivotButton="0" quotePrefix="0" xfId="0"/>
    <xf numFmtId="0" fontId="4" fillId="6" borderId="2" pivotButton="0" quotePrefix="0" xfId="0"/>
    <xf numFmtId="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3" customWidth="1" min="1" max="1"/>
    <col width="14" customWidth="1" min="2" max="2"/>
    <col width="36" customWidth="1" min="3" max="3"/>
    <col width="36" customWidth="1" min="4" max="4"/>
  </cols>
  <sheetData>
    <row r="1">
      <c r="A1" s="1" t="inlineStr">
        <is>
          <t>2026 PERSONEL BORDRO, VERGİ DİLİMLERİ VE SGK İŞVEREN MALİYET HESAPLAYICI</t>
        </is>
      </c>
      <c r="B1" s="1" t="n"/>
      <c r="C1" s="1" t="n"/>
      <c r="D1" s="1" t="n"/>
    </row>
    <row r="2">
      <c r="A2" s="2" t="inlineStr">
        <is>
          <t>7349 Sayılı Kanun Asgari Ücret Vergi İstisnası ve Kümülatif Matrah Dilim Takibi</t>
        </is>
      </c>
      <c r="B2" s="2" t="n"/>
      <c r="C2" s="2" t="n"/>
      <c r="D2" s="2" t="n"/>
    </row>
    <row r="3" ht="25" customHeight="1">
      <c r="A3" s="3" t="inlineStr">
        <is>
          <t>Bordro Kalemi</t>
        </is>
      </c>
      <c r="B3" s="3" t="inlineStr">
        <is>
          <t>Tutar (TL)</t>
        </is>
      </c>
      <c r="C3" s="3" t="inlineStr">
        <is>
          <t>Oran / Formül</t>
        </is>
      </c>
      <c r="D3" s="3" t="inlineStr">
        <is>
          <t>Yasal Dayanak &amp; Açıklama</t>
        </is>
      </c>
    </row>
    <row r="4" ht="20" customHeight="1">
      <c r="A4" s="4" t="inlineStr">
        <is>
          <t>Aylık Brüt Ücret</t>
        </is>
      </c>
      <c r="B4" s="5" t="n">
        <v>45000</v>
      </c>
      <c r="C4" s="4" t="inlineStr">
        <is>
          <t>Anlaşılan Brüt Ücret</t>
        </is>
      </c>
      <c r="D4" s="4" t="inlineStr">
        <is>
          <t>İş Sözleşmesi</t>
        </is>
      </c>
    </row>
    <row r="5" ht="20" customHeight="1">
      <c r="A5" s="4" t="inlineStr">
        <is>
          <t>SGK İşçi Payı Kesintisi (%14)</t>
        </is>
      </c>
      <c r="B5" s="5">
        <f>B4*0.14</f>
        <v/>
      </c>
      <c r="C5" s="4" t="inlineStr">
        <is>
          <t>%14</t>
        </is>
      </c>
      <c r="D5" s="4" t="inlineStr">
        <is>
          <t>5510 Sayılı Kanun Madde 81</t>
        </is>
      </c>
    </row>
    <row r="6" ht="20" customHeight="1">
      <c r="A6" s="4" t="inlineStr">
        <is>
          <t>İşsizlik Sigortası İşçi Payı (%1)</t>
        </is>
      </c>
      <c r="B6" s="5">
        <f>B4*0.01</f>
        <v/>
      </c>
      <c r="C6" s="4" t="inlineStr">
        <is>
          <t>%1</t>
        </is>
      </c>
      <c r="D6" s="4" t="inlineStr">
        <is>
          <t>4447 Sayılı Kanun</t>
        </is>
      </c>
    </row>
    <row r="7" ht="20" customHeight="1">
      <c r="A7" s="4" t="inlineStr">
        <is>
          <t>Toplam SGK Kesintisi (İşçi)</t>
        </is>
      </c>
      <c r="B7" s="5">
        <f>B5+B6</f>
        <v/>
      </c>
      <c r="C7" s="4" t="inlineStr">
        <is>
          <t>%15 İşçi Yasal Kesintisi</t>
        </is>
      </c>
      <c r="D7" s="4" t="inlineStr">
        <is>
          <t>5510 &amp; 4447</t>
        </is>
      </c>
    </row>
    <row r="8" ht="20" customHeight="1">
      <c r="A8" s="4" t="inlineStr">
        <is>
          <t>Gelir Vergisi Matrahı (Aylık)</t>
        </is>
      </c>
      <c r="B8" s="5">
        <f>B4-B7</f>
        <v/>
      </c>
      <c r="C8" s="4" t="inlineStr">
        <is>
          <t>Brüt Ücret - SGK Kesintileri</t>
        </is>
      </c>
      <c r="D8" s="4" t="inlineStr">
        <is>
          <t>GVK Madde 63</t>
        </is>
      </c>
    </row>
    <row r="9" ht="20" customHeight="1">
      <c r="A9" s="4" t="inlineStr">
        <is>
          <t>Önceki Aylardan Devreden Kümülatif Matrah</t>
        </is>
      </c>
      <c r="B9" s="5" t="n">
        <v>120000</v>
      </c>
      <c r="C9" s="4" t="inlineStr">
        <is>
          <t>Yıl İçi Toplam Matrah</t>
        </is>
      </c>
      <c r="D9" s="4" t="inlineStr">
        <is>
          <t>GVK Madde 103</t>
        </is>
      </c>
    </row>
    <row r="10" ht="20" customHeight="1">
      <c r="A10" s="4" t="inlineStr">
        <is>
          <t>Yeni Kümülatif Gelir Vergisi Matrahı</t>
        </is>
      </c>
      <c r="B10" s="5">
        <f>B8+B9</f>
        <v/>
      </c>
      <c r="C10" s="4" t="inlineStr">
        <is>
          <t>Dilim Geçiş Kontrolü</t>
        </is>
      </c>
      <c r="D10" s="4" t="inlineStr">
        <is>
          <t>GVK Madde 103</t>
        </is>
      </c>
    </row>
    <row r="11" ht="20" customHeight="1">
      <c r="A11" s="4" t="inlineStr">
        <is>
          <t>Hesaplanan Gelir Vergisi (Dilimli)</t>
        </is>
      </c>
      <c r="B11" s="5">
        <f>B8*0.20</f>
        <v/>
      </c>
      <c r="C11" s="4" t="inlineStr">
        <is>
          <t>%20 İkinci Dilim (Tarifeden)</t>
        </is>
      </c>
      <c r="D11" s="4" t="inlineStr">
        <is>
          <t>GVK Madde 103</t>
        </is>
      </c>
    </row>
    <row r="12" ht="20" customHeight="1">
      <c r="A12" s="4" t="inlineStr">
        <is>
          <t>Asgari Ücret Gelir Vergisi İstisnası</t>
        </is>
      </c>
      <c r="B12" s="5" t="n">
        <v>3315.7</v>
      </c>
      <c r="C12" s="4" t="inlineStr">
        <is>
          <t>Aylık İstisna Tutarı</t>
        </is>
      </c>
      <c r="D12" s="4" t="inlineStr">
        <is>
          <t>7349 Sayılı Kanun (GV İstisnası)</t>
        </is>
      </c>
    </row>
    <row r="13" ht="20" customHeight="1">
      <c r="A13" s="4" t="inlineStr">
        <is>
          <t>Ödenecek Gelir Vergisi</t>
        </is>
      </c>
      <c r="B13" s="5">
        <f>MAX(0, B11-B12)</f>
        <v/>
      </c>
      <c r="C13" s="4" t="inlineStr">
        <is>
          <t>Hesaplanan GV - İstisna</t>
        </is>
      </c>
      <c r="D13" s="4" t="inlineStr">
        <is>
          <t>Net Vergi Borcu</t>
        </is>
      </c>
    </row>
    <row r="14" ht="20" customHeight="1">
      <c r="A14" s="4" t="inlineStr">
        <is>
          <t>Hesaplanan Damga Vergisi (Binde 7.59)</t>
        </is>
      </c>
      <c r="B14" s="5">
        <f>B4*0.00759</f>
        <v/>
      </c>
      <c r="C14" s="4" t="inlineStr">
        <is>
          <t>Binde 7.59</t>
        </is>
      </c>
      <c r="D14" s="4" t="inlineStr">
        <is>
          <t>Damga Vergisi Kanunu</t>
        </is>
      </c>
    </row>
    <row r="15" ht="20" customHeight="1">
      <c r="A15" s="4" t="inlineStr">
        <is>
          <t>Asgari Ücret Damga Vergisi İstisnası</t>
        </is>
      </c>
      <c r="B15" s="5" t="n">
        <v>197.38</v>
      </c>
      <c r="C15" s="4" t="inlineStr">
        <is>
          <t>Damga Vergisi İstisnası</t>
        </is>
      </c>
      <c r="D15" s="4" t="inlineStr">
        <is>
          <t>7349 Sayılı Kanun (DV İstisnası)</t>
        </is>
      </c>
    </row>
    <row r="16" ht="20" customHeight="1">
      <c r="A16" s="4" t="inlineStr">
        <is>
          <t>Ödenecek Damga Vergisi</t>
        </is>
      </c>
      <c r="B16" s="5">
        <f>MAX(0, B14-B15)</f>
        <v/>
      </c>
      <c r="C16" s="4" t="inlineStr">
        <is>
          <t>Hesaplanan DV - İstisna</t>
        </is>
      </c>
      <c r="D16" s="4" t="inlineStr">
        <is>
          <t>Net Damga Vergisi</t>
        </is>
      </c>
    </row>
    <row r="17" ht="20" customHeight="1">
      <c r="A17" s="4" t="inlineStr">
        <is>
          <t>Toplam Yasal Kesintiler</t>
        </is>
      </c>
      <c r="B17" s="5">
        <f>B7+B13+B16</f>
        <v/>
      </c>
      <c r="C17" s="4" t="inlineStr">
        <is>
          <t>SGK + GV + DV</t>
        </is>
      </c>
      <c r="D17" s="4" t="inlineStr">
        <is>
          <t>Toplam İşçi Kesintisi</t>
        </is>
      </c>
    </row>
    <row r="18" ht="20" customHeight="1">
      <c r="A18" s="6" t="inlineStr">
        <is>
          <t>NET ELE GEÇEN AYLIK ÜCRET</t>
        </is>
      </c>
      <c r="B18" s="7">
        <f>B4-B17</f>
        <v/>
      </c>
      <c r="C18" s="8" t="inlineStr">
        <is>
          <t>Brüt Ücret - Toplam Kesintiler</t>
        </is>
      </c>
      <c r="D18" s="8" t="inlineStr">
        <is>
          <t>Çalışana Ödenecek Net Tutar</t>
        </is>
      </c>
    </row>
    <row r="19" ht="20" customHeight="1">
      <c r="A19" s="4" t="inlineStr">
        <is>
          <t>SGK İşveren Payı (%20.5)</t>
        </is>
      </c>
      <c r="B19" s="5">
        <f>B4*0.205</f>
        <v/>
      </c>
      <c r="C19" s="4" t="inlineStr">
        <is>
          <t>%20.5 (Teşviksiz)</t>
        </is>
      </c>
      <c r="D19" s="4" t="inlineStr">
        <is>
          <t>5510 Sayılı Kanun Madde 81</t>
        </is>
      </c>
    </row>
    <row r="20" ht="20" customHeight="1">
      <c r="A20" s="4" t="inlineStr">
        <is>
          <t>İşsizlik Sigortası İşveren Payı (%2)</t>
        </is>
      </c>
      <c r="B20" s="5">
        <f>B4*0.02</f>
        <v/>
      </c>
      <c r="C20" s="4" t="inlineStr">
        <is>
          <t>%2 İşveren Payı</t>
        </is>
      </c>
      <c r="D20" s="4" t="inlineStr">
        <is>
          <t>4447 Sayılı Kanun</t>
        </is>
      </c>
    </row>
    <row r="21" ht="20" customHeight="1">
      <c r="A21" s="9" t="inlineStr">
        <is>
          <t>TOPLAM İŞVEREN MALİYETİ</t>
        </is>
      </c>
      <c r="B21" s="10">
        <f>B4+B19+B20</f>
        <v/>
      </c>
      <c r="C21" s="11" t="inlineStr">
        <is>
          <t>Brüt Ücret + İşveren SGK Payları</t>
        </is>
      </c>
      <c r="D21" s="11" t="inlineStr">
        <is>
          <t>Aylık Şirket Maliyeti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1" customWidth="1" min="1" max="1"/>
    <col width="35" customWidth="1" min="2" max="2"/>
    <col width="35" customWidth="1" min="3" max="3"/>
    <col width="15" customWidth="1" min="4" max="4"/>
    <col width="27" customWidth="1" min="5" max="5"/>
  </cols>
  <sheetData>
    <row r="1">
      <c r="A1" s="1" t="inlineStr">
        <is>
          <t>GİB 2026/2027 GELİR VERGİSİ DİLİMLERİ VE ASGARİ ÜCRET PARAMETRELERİ</t>
        </is>
      </c>
      <c r="B1" s="1" t="n"/>
      <c r="C1" s="1" t="n"/>
      <c r="D1" s="1" t="n"/>
      <c r="E1" s="1" t="n"/>
    </row>
    <row r="2" ht="25" customHeight="1">
      <c r="A2" s="3" t="inlineStr">
        <is>
          <t>Dilim No</t>
        </is>
      </c>
      <c r="B2" s="3" t="inlineStr">
        <is>
          <t>Kümülatif Matrah Alt Sınır (TL)</t>
        </is>
      </c>
      <c r="C2" s="3" t="inlineStr">
        <is>
          <t>Kümülatif Matrah Üst Sınır (TL)</t>
        </is>
      </c>
      <c r="D2" s="3" t="inlineStr">
        <is>
          <t>Vergi Oranı</t>
        </is>
      </c>
      <c r="E2" s="3" t="inlineStr">
        <is>
          <t>Sabit Vergi Tutarı (TL)</t>
        </is>
      </c>
    </row>
    <row r="3" ht="20" customHeight="1">
      <c r="A3" s="12" t="inlineStr">
        <is>
          <t>1. Dilim</t>
        </is>
      </c>
      <c r="B3" s="5" t="n">
        <v>0</v>
      </c>
      <c r="C3" s="5" t="n">
        <v>158000</v>
      </c>
      <c r="D3" s="13" t="n">
        <v>0.15</v>
      </c>
      <c r="E3" s="5" t="n">
        <v>0</v>
      </c>
    </row>
    <row r="4" ht="20" customHeight="1">
      <c r="A4" s="12" t="inlineStr">
        <is>
          <t>2. Dilim</t>
        </is>
      </c>
      <c r="B4" s="5" t="n">
        <v>158000</v>
      </c>
      <c r="C4" s="5" t="n">
        <v>330000</v>
      </c>
      <c r="D4" s="13" t="n">
        <v>0.2</v>
      </c>
      <c r="E4" s="5" t="n">
        <v>23700</v>
      </c>
    </row>
    <row r="5" ht="20" customHeight="1">
      <c r="A5" s="12" t="inlineStr">
        <is>
          <t>3. Dilim (Ücret)</t>
        </is>
      </c>
      <c r="B5" s="5" t="n">
        <v>330000</v>
      </c>
      <c r="C5" s="5" t="n">
        <v>1200000</v>
      </c>
      <c r="D5" s="13" t="n">
        <v>0.27</v>
      </c>
      <c r="E5" s="5" t="n">
        <v>58100</v>
      </c>
    </row>
    <row r="6" ht="20" customHeight="1">
      <c r="A6" s="12" t="inlineStr">
        <is>
          <t>4. Dilim</t>
        </is>
      </c>
      <c r="B6" s="5" t="n">
        <v>1200000</v>
      </c>
      <c r="C6" s="5" t="n">
        <v>3000000</v>
      </c>
      <c r="D6" s="13" t="n">
        <v>0.35</v>
      </c>
      <c r="E6" s="5" t="n">
        <v>293000</v>
      </c>
    </row>
    <row r="7" ht="20" customHeight="1">
      <c r="A7" s="12" t="inlineStr">
        <is>
          <t>5. Dilim</t>
        </is>
      </c>
      <c r="B7" s="5" t="n">
        <v>3000000</v>
      </c>
      <c r="C7" s="5" t="n">
        <v>99999999</v>
      </c>
      <c r="D7" s="13" t="n">
        <v>0.4</v>
      </c>
      <c r="E7" s="5" t="n">
        <v>923000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2026-10-23T04:04:02Z</dcterms:created>
  <dcterms:modified xmlns:dcterms="http://purl.org/dc/terms/" xmlns:xsi="http://www.w3.org/2001/XMLSchema-instance" xsi:type="dcterms:W3CDTF">2026-10-23T04:04:02Z</dcterms:modified>
</cp:coreProperties>
</file>